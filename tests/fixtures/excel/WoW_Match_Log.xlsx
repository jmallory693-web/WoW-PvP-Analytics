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 Summary" sheetId="1" state="visible" r:id="rId1"/>
    <sheet xmlns:r="http://schemas.openxmlformats.org/officeDocument/2006/relationships" name="PG Matches" sheetId="2" state="visible" r:id="rId2"/>
    <sheet xmlns:r="http://schemas.openxmlformats.org/officeDocument/2006/relationships" name="PG Roster" sheetId="3" state="visible" r:id="rId3"/>
    <sheet xmlns:r="http://schemas.openxmlformats.org/officeDocument/2006/relationships" name="PG Arena" sheetId="4" state="visible" r:id="rId4"/>
    <sheet xmlns:r="http://schemas.openxmlformats.org/officeDocument/2006/relationships" name="GM Summary" sheetId="5" state="visible" r:id="rId5"/>
    <sheet xmlns:r="http://schemas.openxmlformats.org/officeDocument/2006/relationships" name="GM Battlegrounds" sheetId="6" state="visible" r:id="rId6"/>
    <sheet xmlns:r="http://schemas.openxmlformats.org/officeDocument/2006/relationships" name="GM Arena" sheetId="7" state="visible" r:id="rId7"/>
    <sheet xmlns:r="http://schemas.openxmlformats.org/officeDocument/2006/relationships" name="GM Roster" sheetId="8" state="visible" r:id="rId8"/>
    <sheet xmlns:r="http://schemas.openxmlformats.org/officeDocument/2006/relationships" name="FL Summary" sheetId="9" state="visible" r:id="rId9"/>
    <sheet xmlns:r="http://schemas.openxmlformats.org/officeDocument/2006/relationships" name="FL Matches" sheetId="10" state="visible" r:id="rId10"/>
    <sheet xmlns:r="http://schemas.openxmlformats.org/officeDocument/2006/relationships" name="FL Arena" sheetId="11" state="visible" r:id="rId11"/>
    <sheet xmlns:r="http://schemas.openxmlformats.org/officeDocument/2006/relationships" name="Known Players" sheetId="12" state="visible" r:id="rId12"/>
    <sheet xmlns:r="http://schemas.openxmlformats.org/officeDocument/2006/relationships" name="Gui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mm/dd/yyyy"/>
    <numFmt numFmtId="167" formatCode="[m]:ss"/>
    <numFmt numFmtId="168" formatCode="\+0;\-0;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Asterknight — Summary</t>
        </is>
      </c>
    </row>
    <row r="2">
      <c r="A2" t="inlineStr">
        <is>
          <t>All values calculate from the Matches tab.</t>
        </is>
      </c>
    </row>
    <row r="3">
      <c r="A3" t="inlineStr">
        <is>
          <t>Stat</t>
        </is>
      </c>
      <c r="B3" t="inlineStr">
        <is>
          <t>Value</t>
        </is>
      </c>
    </row>
    <row r="4">
      <c r="A4" t="inlineStr">
        <is>
          <t>Games</t>
        </is>
      </c>
      <c r="B4" s="1">
        <f>COUNTA('PG Matches'!$D$5:$D$1000)</f>
        <v/>
      </c>
    </row>
    <row r="5">
      <c r="A5" t="inlineStr">
        <is>
          <t>Wins</t>
        </is>
      </c>
      <c r="B5" s="1">
        <f>COUNTIF('PG Matches'!$G$5:$G$1000,"W")</f>
        <v/>
      </c>
    </row>
    <row r="6">
      <c r="A6" t="inlineStr">
        <is>
          <t>Losses</t>
        </is>
      </c>
      <c r="B6" s="1">
        <f>COUNTIF('PG Matches'!$G$5:$G$1000,"L")</f>
        <v/>
      </c>
    </row>
    <row r="7">
      <c r="A7" t="inlineStr">
        <is>
          <t>Win rate</t>
        </is>
      </c>
      <c r="B7" s="2">
        <f>IF(B4=0,0,B5/B4)</f>
        <v/>
      </c>
    </row>
    <row r="8">
      <c r="A8" t="inlineStr">
        <is>
          <t>Total killing blows</t>
        </is>
      </c>
      <c r="B8" s="1">
        <f>SUM('PG Matches'!$J$5:$J$1000)</f>
        <v/>
      </c>
    </row>
    <row r="9">
      <c r="A9" t="inlineStr">
        <is>
          <t>Total player0354 kills</t>
        </is>
      </c>
      <c r="B9" s="3">
        <f>SUM('PG Matches'!$K$5:$K$1000)</f>
        <v/>
      </c>
    </row>
    <row r="10">
      <c r="A10" t="inlineStr">
        <is>
          <t>Total damage (M)</t>
        </is>
      </c>
      <c r="B10" s="4">
        <f>SUM('PG Matches'!$M$5:$M$1000)</f>
        <v/>
      </c>
    </row>
    <row r="11">
      <c r="A11" t="inlineStr">
        <is>
          <t>Total healing (M)</t>
        </is>
      </c>
      <c r="B11" s="4">
        <f>SUM('PG Matches'!$N$5:$N$1000)</f>
        <v/>
      </c>
    </row>
    <row r="12">
      <c r="A12" t="inlineStr">
        <is>
          <t>Avg killing blows</t>
        </is>
      </c>
      <c r="B12" s="5">
        <f>AVERAGE('PG Matches'!$J$5:$J$1000)</f>
        <v/>
      </c>
    </row>
    <row r="13">
      <c r="A13" t="inlineStr">
        <is>
          <t>Avg player0354 kills</t>
        </is>
      </c>
      <c r="B13" s="4">
        <f>AVERAGE('PG Matches'!$K$5:$K$1000)</f>
        <v/>
      </c>
    </row>
    <row r="14">
      <c r="A14" t="inlineStr">
        <is>
          <t>Avg damage per game (M)</t>
        </is>
      </c>
      <c r="B14" s="5">
        <f>AVERAGE('PG Matches'!$M$5:$M$1000)</f>
        <v/>
      </c>
    </row>
    <row r="15">
      <c r="A15" t="inlineStr">
        <is>
          <t>Avg healing per game (M)</t>
        </is>
      </c>
      <c r="B15" s="5">
        <f>AVERAGE('PG Matches'!$N$5:$N$1000)</f>
        <v/>
      </c>
    </row>
    <row r="16">
      <c r="A16" t="inlineStr">
        <is>
          <t>Damage per minute (M), games with duration</t>
        </is>
      </c>
      <c r="B16" s="5">
        <f>SUMIFS('PG Matches'!$M$5:$M$1000,'PG Matches'!$F$5:$F$1000,"&gt;0")/(SUM('PG Matches'!$F$5:$F$1000)*1440)</f>
        <v/>
      </c>
    </row>
    <row r="17">
      <c r="A17" t="inlineStr">
        <is>
          <t>Best damage (M)</t>
        </is>
      </c>
      <c r="B17" s="5">
        <f>MAX('PG Matches'!$M$5:$M$1000)</f>
        <v/>
      </c>
    </row>
    <row r="18">
      <c r="A18" t="inlineStr">
        <is>
          <t>Best killing blows</t>
        </is>
      </c>
      <c r="B18" s="1">
        <f>MAX('PG Matches'!$J$5:$J$1000)</f>
        <v/>
      </c>
    </row>
    <row r="19">
      <c r="A19" t="inlineStr">
        <is>
          <t>Best player0354 kills</t>
        </is>
      </c>
      <c r="B19" s="1">
        <f>MAX('PG Matches'!$K$5:$K$1000)</f>
        <v/>
      </c>
    </row>
    <row r="20">
      <c r="A20" t="inlineStr">
        <is>
          <t>Games with deaths tracked</t>
        </is>
      </c>
      <c r="B20" s="1">
        <f>COUNT('PG Matches'!$L$5:$L$1000)</f>
        <v/>
      </c>
    </row>
    <row r="21">
      <c r="A21" t="inlineStr">
        <is>
          <t>Avg deaths (tracked games)</t>
        </is>
      </c>
      <c r="B21" s="5">
        <f>IF(B20=0,"",AVERAGE('PG Matches'!$L$5:$L$1000))</f>
        <v/>
      </c>
    </row>
    <row r="22">
      <c r="A22" t="inlineStr">
        <is>
          <t>Total honor</t>
        </is>
      </c>
      <c r="B22" s="3">
        <f>SUM('PG Matches'!$P$5:$P$1000)</f>
        <v/>
      </c>
    </row>
    <row r="23"/>
    <row r="24"/>
    <row r="25">
      <c r="A25" t="inlineStr">
        <is>
          <t>By map type</t>
        </is>
      </c>
    </row>
    <row r="26">
      <c r="A26" t="inlineStr">
        <is>
          <t>Map type</t>
        </is>
      </c>
      <c r="B26" t="inlineStr">
        <is>
          <t>Games</t>
        </is>
      </c>
      <c r="C26" t="inlineStr">
        <is>
          <t>Wins</t>
        </is>
      </c>
      <c r="D26" t="inlineStr">
        <is>
          <t>Win rate</t>
        </is>
      </c>
      <c r="E26" t="inlineStr">
        <is>
          <t>Avg damage (M)</t>
        </is>
      </c>
      <c r="F26" t="inlineStr">
        <is>
          <t>Damage / min (M)</t>
        </is>
      </c>
      <c r="G26" t="inlineStr">
        <is>
          <t>Avg HKs</t>
        </is>
      </c>
    </row>
    <row r="27">
      <c r="A27" t="inlineStr">
        <is>
          <t>Bases</t>
        </is>
      </c>
      <c r="B27">
        <f>COUNTIF('PG Matches'!$E$5:$E$1000,A27)</f>
        <v/>
      </c>
      <c r="C27">
        <f>COUNTIFS('PG Matches'!$E$5:$E$1000,A27,'PG Matches'!$G$5:$G$1000,"W")</f>
        <v/>
      </c>
      <c r="D27" s="6">
        <f>IF(B27=0,"",C27/B27)</f>
        <v/>
      </c>
      <c r="E27" s="5">
        <f>IF(B27=0,"",SUMIFS('PG Matches'!$M$5:$M$1000,'PG Matches'!$E$5:$E$1000,A27)/B27)</f>
        <v/>
      </c>
      <c r="F27" s="5">
        <f>IF(SUMIFS('PG Matches'!$F$5:$F$1000,'PG Matches'!$E$5:$E$1000,A27)=0,"",SUMIFS('PG Matches'!$M$5:$M$1000,'PG Matches'!$E$5:$E$1000,A27,'PG Matches'!$F$5:$F$1000,"&gt;0")/(SUMIFS('PG Matches'!$F$5:$F$1000,'PG Matches'!$E$5:$E$1000,A27)*1440))</f>
        <v/>
      </c>
      <c r="G27" s="4">
        <f>IF(B27=0,"",SUMIFS('PG Matches'!$K$5:$K$1000,'PG Matches'!$E$5:$E$1000,A27)/B27)</f>
        <v/>
      </c>
    </row>
    <row r="28">
      <c r="A28" t="inlineStr">
        <is>
          <t>Flag</t>
        </is>
      </c>
      <c r="B28">
        <f>COUNTIF('PG Matches'!$E$5:$E$1000,A28)</f>
        <v/>
      </c>
      <c r="C28">
        <f>COUNTIFS('PG Matches'!$E$5:$E$1000,A28,'PG Matches'!$G$5:$G$1000,"W")</f>
        <v/>
      </c>
      <c r="D28" s="6">
        <f>IF(B28=0,"",C28/B28)</f>
        <v/>
      </c>
      <c r="E28" s="5">
        <f>IF(B28=0,"",SUMIFS('PG Matches'!$M$5:$M$1000,'PG Matches'!$E$5:$E$1000,A28)/B28)</f>
        <v/>
      </c>
      <c r="F28" s="5">
        <f>IF(SUMIFS('PG Matches'!$F$5:$F$1000,'PG Matches'!$E$5:$E$1000,A28)=0,"",SUMIFS('PG Matches'!$M$5:$M$1000,'PG Matches'!$E$5:$E$1000,A28,'PG Matches'!$F$5:$F$1000,"&gt;0")/(SUMIFS('PG Matches'!$F$5:$F$1000,'PG Matches'!$E$5:$E$1000,A28)*1440))</f>
        <v/>
      </c>
      <c r="G28" s="4">
        <f>IF(B28=0,"",SUMIFS('PG Matches'!$K$5:$K$1000,'PG Matches'!$E$5:$E$1000,A28)/B28)</f>
        <v/>
      </c>
    </row>
    <row r="29">
      <c r="A29" t="inlineStr">
        <is>
          <t>Flag + Bases</t>
        </is>
      </c>
      <c r="B29">
        <f>COUNTIF('PG Matches'!$E$5:$E$1000,A29)</f>
        <v/>
      </c>
      <c r="C29">
        <f>COUNTIFS('PG Matches'!$E$5:$E$1000,A29,'PG Matches'!$G$5:$G$1000,"W")</f>
        <v/>
      </c>
      <c r="D29" s="6">
        <f>IF(B29=0,"",C29/B29)</f>
        <v/>
      </c>
      <c r="E29" s="5">
        <f>IF(B29=0,"",SUMIFS('PG Matches'!$M$5:$M$1000,'PG Matches'!$E$5:$E$1000,A29)/B29)</f>
        <v/>
      </c>
      <c r="F29" s="5">
        <f>IF(SUMIFS('PG Matches'!$F$5:$F$1000,'PG Matches'!$E$5:$E$1000,A29)=0,"",SUMIFS('PG Matches'!$M$5:$M$1000,'PG Matches'!$E$5:$E$1000,A29,'PG Matches'!$F$5:$F$1000,"&gt;0")/(SUMIFS('PG Matches'!$F$5:$F$1000,'PG Matches'!$E$5:$E$1000,A29)*1440))</f>
        <v/>
      </c>
      <c r="G29" s="4">
        <f>IF(B29=0,"",SUMIFS('PG Matches'!$K$5:$K$1000,'PG Matches'!$E$5:$E$1000,A29)/B29)</f>
        <v/>
      </c>
    </row>
    <row r="30">
      <c r="A30" t="inlineStr">
        <is>
          <t>Orbs</t>
        </is>
      </c>
      <c r="B30">
        <f>COUNTIF('PG Matches'!$E$5:$E$1000,A30)</f>
        <v/>
      </c>
      <c r="C30">
        <f>COUNTIFS('PG Matches'!$E$5:$E$1000,A30,'PG Matches'!$G$5:$G$1000,"W")</f>
        <v/>
      </c>
      <c r="D30" s="6">
        <f>IF(B30=0,"",C30/B30)</f>
        <v/>
      </c>
      <c r="E30" s="5">
        <f>IF(B30=0,"",SUMIFS('PG Matches'!$M$5:$M$1000,'PG Matches'!$E$5:$E$1000,A30)/B30)</f>
        <v/>
      </c>
      <c r="F30" s="5">
        <f>IF(SUMIFS('PG Matches'!$F$5:$F$1000,'PG Matches'!$E$5:$E$1000,A30)=0,"",SUMIFS('PG Matches'!$M$5:$M$1000,'PG Matches'!$E$5:$E$1000,A30,'PG Matches'!$F$5:$F$1000,"&gt;0")/(SUMIFS('PG Matches'!$F$5:$F$1000,'PG Matches'!$E$5:$E$1000,A30)*1440))</f>
        <v/>
      </c>
      <c r="G30" s="4">
        <f>IF(B30=0,"",SUMIFS('PG Matches'!$K$5:$K$1000,'PG Matches'!$E$5:$E$1000,A30)/B30)</f>
        <v/>
      </c>
    </row>
    <row r="31">
      <c r="A31" t="inlineStr">
        <is>
          <t>Carts</t>
        </is>
      </c>
      <c r="B31">
        <f>COUNTIF('PG Matches'!$E$5:$E$1000,A31)</f>
        <v/>
      </c>
      <c r="C31">
        <f>COUNTIFS('PG Matches'!$E$5:$E$1000,A31,'PG Matches'!$G$5:$G$1000,"W")</f>
        <v/>
      </c>
      <c r="D31" s="6">
        <f>IF(B31=0,"",C31/B31)</f>
        <v/>
      </c>
      <c r="E31" s="5">
        <f>IF(B31=0,"",SUMIFS('PG Matches'!$M$5:$M$1000,'PG Matches'!$E$5:$E$1000,A31)/B31)</f>
        <v/>
      </c>
      <c r="F31" s="5">
        <f>IF(SUMIFS('PG Matches'!$F$5:$F$1000,'PG Matches'!$E$5:$E$1000,A31)=0,"",SUMIFS('PG Matches'!$M$5:$M$1000,'PG Matches'!$E$5:$E$1000,A31,'PG Matches'!$F$5:$F$1000,"&gt;0")/(SUMIFS('PG Matches'!$F$5:$F$1000,'PG Matches'!$E$5:$E$1000,A31)*1440))</f>
        <v/>
      </c>
      <c r="G31" s="4">
        <f>IF(B31=0,"",SUMIFS('PG Matches'!$K$5:$K$1000,'PG Matches'!$E$5:$E$1000,A31)/B31)</f>
        <v/>
      </c>
    </row>
    <row r="32">
      <c r="A32" t="inlineStr">
        <is>
          <t>Azerite</t>
        </is>
      </c>
      <c r="B32">
        <f>COUNTIF('PG Matches'!$E$5:$E$1000,A32)</f>
        <v/>
      </c>
      <c r="C32">
        <f>COUNTIFS('PG Matches'!$E$5:$E$1000,A32,'PG Matches'!$G$5:$G$1000,"W")</f>
        <v/>
      </c>
      <c r="D32" s="6">
        <f>IF(B32=0,"",C32/B32)</f>
        <v/>
      </c>
      <c r="E32" s="5">
        <f>IF(B32=0,"",SUMIFS('PG Matches'!$M$5:$M$1000,'PG Matches'!$E$5:$E$1000,A32)/B32)</f>
        <v/>
      </c>
      <c r="F32" s="5">
        <f>IF(SUMIFS('PG Matches'!$F$5:$F$1000,'PG Matches'!$E$5:$E$1000,A32)=0,"",SUMIFS('PG Matches'!$M$5:$M$1000,'PG Matches'!$E$5:$E$1000,A32,'PG Matches'!$F$5:$F$1000,"&gt;0")/(SUMIFS('PG Matches'!$F$5:$F$1000,'PG Matches'!$E$5:$E$1000,A32)*1440))</f>
        <v/>
      </c>
      <c r="G32" s="4">
        <f>IF(B32=0,"",SUMIFS('PG Matches'!$K$5:$K$1000,'PG Matches'!$E$5:$E$1000,A32)/B32)</f>
        <v/>
      </c>
    </row>
    <row r="33">
      <c r="A33" t="inlineStr">
        <is>
          <t>Epic</t>
        </is>
      </c>
      <c r="B33">
        <f>COUNTIF('PG Matches'!$E$5:$E$1000,A33)</f>
        <v/>
      </c>
      <c r="C33">
        <f>COUNTIFS('PG Matches'!$E$5:$E$1000,A33,'PG Matches'!$G$5:$G$1000,"W")</f>
        <v/>
      </c>
      <c r="D33" s="6">
        <f>IF(B33=0,"",C33/B33)</f>
        <v/>
      </c>
      <c r="E33" s="5">
        <f>IF(B33=0,"",SUMIFS('PG Matches'!$M$5:$M$1000,'PG Matches'!$E$5:$E$1000,A33)/B33)</f>
        <v/>
      </c>
      <c r="F33" s="5">
        <f>IF(SUMIFS('PG Matches'!$F$5:$F$1000,'PG Matches'!$E$5:$E$1000,A33)=0,"",SUMIFS('PG Matches'!$M$5:$M$1000,'PG Matches'!$E$5:$E$1000,A33,'PG Matches'!$F$5:$F$1000,"&gt;0")/(SUMIFS('PG Matches'!$F$5:$F$1000,'PG Matches'!$E$5:$E$1000,A33)*1440))</f>
        <v/>
      </c>
      <c r="G33" s="4">
        <f>IF(B33=0,"",SUMIFS('PG Matches'!$K$5:$K$1000,'PG Matches'!$E$5:$E$1000,A33)/B33)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Asterknight — Battleground Match Log</t>
        </is>
      </c>
    </row>
    <row r="2">
      <c r="A2" t="inlineStr">
        <is>
          <t>Blue = entered data · Black = formulas · Green rows = wins, red rows = losses. See the Guide tab to add matches.</t>
        </is>
      </c>
    </row>
    <row r="3"/>
    <row r="4">
      <c r="A4" t="inlineStr">
        <is>
          <t>Game #</t>
        </is>
      </c>
      <c r="B4" t="inlineStr">
        <is>
          <t>Date</t>
        </is>
      </c>
      <c r="C4" t="inlineStr">
        <is>
          <t>Time</t>
        </is>
      </c>
      <c r="D4" t="inlineStr">
        <is>
          <t>Battleground</t>
        </is>
      </c>
      <c r="E4" t="inlineStr">
        <is>
          <t>Map type</t>
        </is>
      </c>
      <c r="F4" t="inlineStr">
        <is>
          <t>Duration</t>
        </is>
      </c>
      <c r="G4" t="inlineStr">
        <is>
          <t>Result</t>
        </is>
      </c>
      <c r="H4" t="inlineStr">
        <is>
          <t>Our score</t>
        </is>
      </c>
      <c r="I4" t="inlineStr">
        <is>
          <t>Enemy score</t>
        </is>
      </c>
      <c r="J4" t="inlineStr">
        <is>
          <t>KB</t>
        </is>
      </c>
      <c r="K4" t="inlineStr">
        <is>
          <t>HK</t>
        </is>
      </c>
      <c r="L4" t="inlineStr">
        <is>
          <t>Deaths</t>
        </is>
      </c>
      <c r="M4" t="inlineStr">
        <is>
          <t>Damage (M)</t>
        </is>
      </c>
      <c r="N4" t="inlineStr">
        <is>
          <t>Healing (M)</t>
        </is>
      </c>
      <c r="O4" t="inlineStr">
        <is>
          <t>Damage / min (M)</t>
        </is>
      </c>
      <c r="P4" t="inlineStr">
        <is>
          <t>Honor</t>
        </is>
      </c>
      <c r="Q4" t="inlineStr">
        <is>
          <t>Conquest</t>
        </is>
      </c>
      <c r="R4" t="inlineStr">
        <is>
          <t>Role</t>
        </is>
      </c>
      <c r="S4" t="inlineStr">
        <is>
          <t>Bases assaulted</t>
        </is>
      </c>
      <c r="T4" t="inlineStr">
        <is>
          <t>Bases defended</t>
        </is>
      </c>
      <c r="U4" t="inlineStr">
        <is>
          <t>Flag captures</t>
        </is>
      </c>
      <c r="V4" t="inlineStr">
        <is>
          <t>Flag returns</t>
        </is>
      </c>
      <c r="W4" t="inlineStr">
        <is>
          <t>Carts controlled</t>
        </is>
      </c>
      <c r="X4" t="inlineStr">
        <is>
          <t>Orb possessions</t>
        </is>
      </c>
      <c r="Y4" t="inlineStr">
        <is>
          <t>Victory points</t>
        </is>
      </c>
      <c r="Z4" t="inlineStr">
        <is>
          <t>Top Horde damage (M)</t>
        </is>
      </c>
      <c r="AA4" t="inlineStr">
        <is>
          <t>Damage share</t>
        </is>
      </c>
      <c r="AB4" t="inlineStr">
        <is>
          <t>Data source</t>
        </is>
      </c>
      <c r="AC4" t="inlineStr">
        <is>
          <t>Notes</t>
        </is>
      </c>
      <c r="AD4" t="inlineStr">
        <is>
          <t>Horde deaths</t>
        </is>
      </c>
      <c r="AE4" t="inlineStr">
        <is>
          <t>Alliance deaths</t>
        </is>
      </c>
      <c r="AF4" t="inlineStr">
        <is>
          <t>Healers (Horde vs Alliance)</t>
        </is>
      </c>
      <c r="AG4" t="inlineStr">
        <is>
          <t>Horde healing (M)</t>
        </is>
      </c>
      <c r="AH4" t="inlineStr">
        <is>
          <t>Alliance healing (M)</t>
        </is>
      </c>
      <c r="AI4" t="inlineStr">
        <is>
          <t>Premade on mains?</t>
        </is>
      </c>
      <c r="AJ4" t="inlineStr">
        <is>
          <t>Teammates on mains</t>
        </is>
      </c>
    </row>
    <row r="5">
      <c r="A5" t="n">
        <v>1</v>
      </c>
      <c r="B5" s="10" t="n">
        <v>47772</v>
      </c>
      <c r="C5" t="inlineStr">
        <is>
          <t>10:59 AM</t>
        </is>
      </c>
      <c r="D5" t="inlineStr">
        <is>
          <t>The Battle for Gilneas</t>
        </is>
      </c>
      <c r="E5" t="inlineStr">
        <is>
          <t>Bases</t>
        </is>
      </c>
      <c r="F5" s="11" t="n">
        <v>0.009722222222222222</v>
      </c>
      <c r="G5" t="inlineStr">
        <is>
          <t>L</t>
        </is>
      </c>
      <c r="J5" t="n">
        <v>7</v>
      </c>
      <c r="K5" t="n">
        <v>1</v>
      </c>
      <c r="M5" s="5" t="n">
        <v>4.226227</v>
      </c>
      <c r="N5" s="5" t="n">
        <v>1.286207</v>
      </c>
      <c r="O5" s="5">
        <f>IF(OR(F5="",F5=0),"",M5/(F5*1440))</f>
        <v/>
      </c>
      <c r="P5" s="3" t="n">
        <v>430</v>
      </c>
      <c r="AA5" s="6">
        <f>IF(Z5="","",M5/Z5)</f>
        <v/>
      </c>
      <c r="AB5" t="inlineStr">
        <is>
          <t>REFlex</t>
        </is>
      </c>
    </row>
    <row r="6">
      <c r="A6" t="n">
        <v>2</v>
      </c>
      <c r="B6" s="10" t="n">
        <v>47772</v>
      </c>
      <c r="C6" t="inlineStr">
        <is>
          <t>08:01 PM</t>
        </is>
      </c>
      <c r="D6" t="inlineStr">
        <is>
          <t>Silvershard Mines</t>
        </is>
      </c>
      <c r="E6" t="inlineStr">
        <is>
          <t>Carts</t>
        </is>
      </c>
      <c r="F6" s="11" t="n">
        <v>0.004861111111111111</v>
      </c>
      <c r="G6" t="inlineStr">
        <is>
          <t>W</t>
        </is>
      </c>
      <c r="J6" t="n">
        <v>4</v>
      </c>
      <c r="K6" t="n">
        <v>1</v>
      </c>
      <c r="M6" s="5" t="n">
        <v>13.734027</v>
      </c>
      <c r="N6" s="5" t="n">
        <v>7.571767</v>
      </c>
      <c r="O6" s="5">
        <f>IF(OR(F6="",F6=0),"",M6/(F6*1440))</f>
        <v/>
      </c>
      <c r="P6" s="3" t="n">
        <v>755</v>
      </c>
      <c r="AA6" s="6">
        <f>IF(Z6="","",M6/Z6)</f>
        <v/>
      </c>
      <c r="AB6" t="inlineStr">
        <is>
          <t>REFlex</t>
        </is>
      </c>
    </row>
    <row r="7">
      <c r="A7" t="n">
        <v>3</v>
      </c>
      <c r="B7" s="10" t="n">
        <v>47773</v>
      </c>
      <c r="C7" t="inlineStr">
        <is>
          <t>09:13 AM</t>
        </is>
      </c>
      <c r="D7" t="inlineStr">
        <is>
          <t>The Battle for Gilneas</t>
        </is>
      </c>
      <c r="E7" t="inlineStr">
        <is>
          <t>Bases</t>
        </is>
      </c>
      <c r="F7" s="11" t="n">
        <v>0.007465277777777778</v>
      </c>
      <c r="G7" t="inlineStr">
        <is>
          <t>L</t>
        </is>
      </c>
      <c r="J7" t="n">
        <v>7</v>
      </c>
      <c r="K7" t="n">
        <v>10</v>
      </c>
      <c r="M7" s="5" t="n">
        <v>24.228227</v>
      </c>
      <c r="N7" s="5" t="n">
        <v>12.147567</v>
      </c>
      <c r="O7" s="5">
        <f>IF(OR(F7="",F7=0),"",M7/(F7*1440))</f>
        <v/>
      </c>
      <c r="P7" s="3" t="n">
        <v>513</v>
      </c>
      <c r="AA7" s="6">
        <f>IF(Z7="","",M7/Z7)</f>
        <v/>
      </c>
      <c r="AB7" t="inlineStr">
        <is>
          <t>REFlex</t>
        </is>
      </c>
    </row>
    <row r="8">
      <c r="A8" t="n">
        <v>4</v>
      </c>
      <c r="B8" s="10" t="n">
        <v>47773</v>
      </c>
      <c r="C8" t="inlineStr">
        <is>
          <t>09:51 AM</t>
        </is>
      </c>
      <c r="D8" t="inlineStr">
        <is>
          <t>Eye of the Storm</t>
        </is>
      </c>
      <c r="E8" t="inlineStr">
        <is>
          <t>Flag + Bases</t>
        </is>
      </c>
      <c r="F8" s="11" t="n">
        <v>0.004525462962962963</v>
      </c>
      <c r="G8" t="inlineStr">
        <is>
          <t>L</t>
        </is>
      </c>
      <c r="J8" t="n">
        <v>0</v>
      </c>
      <c r="K8" t="n">
        <v>9</v>
      </c>
      <c r="M8" s="5" t="n">
        <v>11.816027</v>
      </c>
      <c r="N8" s="5" t="n">
        <v>11.133767</v>
      </c>
      <c r="O8" s="5">
        <f>IF(OR(F8="",F8=0),"",M8/(F8*1440))</f>
        <v/>
      </c>
      <c r="P8" s="3" t="n">
        <v>322</v>
      </c>
      <c r="AA8" s="6">
        <f>IF(Z8="","",M8/Z8)</f>
        <v/>
      </c>
      <c r="AB8" t="inlineStr">
        <is>
          <t>REFlex</t>
        </is>
      </c>
    </row>
    <row r="9">
      <c r="A9" t="n">
        <v>5</v>
      </c>
      <c r="B9" s="10" t="n">
        <v>47773</v>
      </c>
      <c r="C9" t="inlineStr">
        <is>
          <t>10:09 AM</t>
        </is>
      </c>
      <c r="D9" t="inlineStr">
        <is>
          <t>Eye of the Storm</t>
        </is>
      </c>
      <c r="E9" t="inlineStr">
        <is>
          <t>Flag + Bases</t>
        </is>
      </c>
      <c r="F9" s="11" t="n">
        <v>0.00974537037037037</v>
      </c>
      <c r="G9" t="inlineStr">
        <is>
          <t>W</t>
        </is>
      </c>
      <c r="J9" t="n">
        <v>0</v>
      </c>
      <c r="K9" t="n">
        <v>9</v>
      </c>
      <c r="M9" s="5" t="n">
        <v>20.940227</v>
      </c>
      <c r="N9" s="5" t="n">
        <v>14.010767</v>
      </c>
      <c r="O9" s="5">
        <f>IF(OR(F9="",F9=0),"",M9/(F9*1440))</f>
        <v/>
      </c>
      <c r="P9" s="3" t="n">
        <v>1541</v>
      </c>
      <c r="AA9" s="6">
        <f>IF(Z9="","",M9/Z9)</f>
        <v/>
      </c>
      <c r="AB9" t="inlineStr">
        <is>
          <t>REFlex</t>
        </is>
      </c>
      <c r="AC9" t="inlineStr">
        <is>
          <t>Synthetic example</t>
        </is>
      </c>
    </row>
    <row r="10">
      <c r="A10" t="n">
        <v>6</v>
      </c>
      <c r="B10" s="10" t="n">
        <v>47773</v>
      </c>
      <c r="C10" t="inlineStr">
        <is>
          <t>10:24 AM</t>
        </is>
      </c>
      <c r="D10" t="inlineStr">
        <is>
          <t>Deephaul Ravine</t>
        </is>
      </c>
      <c r="E10" t="inlineStr">
        <is>
          <t>Carts</t>
        </is>
      </c>
      <c r="F10" s="11" t="n">
        <v>0.007534722222222222</v>
      </c>
      <c r="G10" t="inlineStr">
        <is>
          <t>W</t>
        </is>
      </c>
      <c r="J10" t="n">
        <v>0</v>
      </c>
      <c r="K10" t="n">
        <v>2</v>
      </c>
      <c r="M10" s="5" t="n">
        <v>28.256027</v>
      </c>
      <c r="N10" s="5" t="n">
        <v>19.901767</v>
      </c>
      <c r="O10" s="5">
        <f>IF(OR(F10="",F10=0),"",M10/(F10*1440))</f>
        <v/>
      </c>
      <c r="P10" s="3" t="n">
        <v>1205</v>
      </c>
      <c r="AA10" s="6">
        <f>IF(Z10="","",M10/Z10)</f>
        <v/>
      </c>
      <c r="AB10" t="inlineStr">
        <is>
          <t>REFlex</t>
        </is>
      </c>
    </row>
    <row r="11">
      <c r="A11" t="n">
        <v>7</v>
      </c>
      <c r="B11" s="10" t="n">
        <v>47773</v>
      </c>
      <c r="C11" t="inlineStr">
        <is>
          <t>10:43 AM</t>
        </is>
      </c>
      <c r="D11" t="inlineStr">
        <is>
          <t>Silvershard Mines</t>
        </is>
      </c>
      <c r="E11" t="inlineStr">
        <is>
          <t>Carts</t>
        </is>
      </c>
      <c r="F11" s="11" t="n">
        <v>0.004976851851851852</v>
      </c>
      <c r="G11" t="inlineStr">
        <is>
          <t>L</t>
        </is>
      </c>
      <c r="J11" t="n">
        <v>0</v>
      </c>
      <c r="K11" t="n">
        <v>0</v>
      </c>
      <c r="M11" s="5" t="n">
        <v>10.226827</v>
      </c>
      <c r="N11" s="5" t="n">
        <v>10.366567</v>
      </c>
      <c r="O11" s="5">
        <f>IF(OR(F11="",F11=0),"",M11/(F11*1440))</f>
        <v/>
      </c>
      <c r="P11" s="3" t="n">
        <v>363</v>
      </c>
      <c r="AA11" s="6">
        <f>IF(Z11="","",M11/Z11)</f>
        <v/>
      </c>
      <c r="AB11" t="inlineStr">
        <is>
          <t>REFlex</t>
        </is>
      </c>
      <c r="AC11" t="inlineStr">
        <is>
          <t>Synthetic example</t>
        </is>
      </c>
    </row>
    <row r="12">
      <c r="A12" t="n">
        <v>8</v>
      </c>
      <c r="B12" s="10" t="n">
        <v>47773</v>
      </c>
      <c r="C12" t="inlineStr">
        <is>
          <t>11:04 AM</t>
        </is>
      </c>
      <c r="D12" t="inlineStr">
        <is>
          <t>Eye of the Storm</t>
        </is>
      </c>
      <c r="E12" t="inlineStr">
        <is>
          <t>Flag + Bases</t>
        </is>
      </c>
      <c r="F12" s="11" t="n">
        <v>0.01188657407407407</v>
      </c>
      <c r="G12" t="inlineStr">
        <is>
          <t>L</t>
        </is>
      </c>
      <c r="J12" t="n">
        <v>10</v>
      </c>
      <c r="K12" t="n">
        <v>8</v>
      </c>
      <c r="M12" s="5" t="n">
        <v>40.586027</v>
      </c>
      <c r="N12" s="5" t="n">
        <v>18.613967</v>
      </c>
      <c r="O12" s="5">
        <f>IF(OR(F12="",F12=0),"",M12/(F12*1440))</f>
        <v/>
      </c>
      <c r="P12" s="3" t="n">
        <v>756</v>
      </c>
      <c r="AA12" s="6">
        <f>IF(Z12="","",M12/Z12)</f>
        <v/>
      </c>
      <c r="AB12" t="inlineStr">
        <is>
          <t>REFlex</t>
        </is>
      </c>
      <c r="AC12" t="inlineStr">
        <is>
          <t>Synthetic example</t>
        </is>
      </c>
    </row>
    <row r="13">
      <c r="A13" t="n">
        <v>9</v>
      </c>
      <c r="B13" s="10" t="n">
        <v>47773</v>
      </c>
      <c r="C13" t="inlineStr">
        <is>
          <t>04:54 PM</t>
        </is>
      </c>
      <c r="D13" t="inlineStr">
        <is>
          <t>The Battle for Gilneas</t>
        </is>
      </c>
      <c r="E13" t="inlineStr">
        <is>
          <t>Bases</t>
        </is>
      </c>
      <c r="F13" s="11" t="n">
        <v>0.007696759259259259</v>
      </c>
      <c r="G13" t="inlineStr">
        <is>
          <t>W</t>
        </is>
      </c>
      <c r="J13" t="n">
        <v>7</v>
      </c>
      <c r="K13" t="n">
        <v>4</v>
      </c>
      <c r="M13" s="5" t="n">
        <v>27.105227</v>
      </c>
      <c r="N13" s="5" t="n">
        <v>12.969567</v>
      </c>
      <c r="O13" s="5">
        <f>IF(OR(F13="",F13=0),"",M13/(F13*1440))</f>
        <v/>
      </c>
      <c r="P13" s="3" t="n">
        <v>1093</v>
      </c>
      <c r="AA13" s="6">
        <f>IF(Z13="","",M13/Z13)</f>
        <v/>
      </c>
      <c r="AB13" t="inlineStr">
        <is>
          <t>REFlex</t>
        </is>
      </c>
    </row>
    <row r="14">
      <c r="A14" t="n">
        <v>10</v>
      </c>
      <c r="B14" s="10" t="n">
        <v>47773</v>
      </c>
      <c r="C14" t="inlineStr">
        <is>
          <t>05:09 PM</t>
        </is>
      </c>
      <c r="D14" t="inlineStr">
        <is>
          <t>Silvershard Mines</t>
        </is>
      </c>
      <c r="E14" t="inlineStr">
        <is>
          <t>Carts</t>
        </is>
      </c>
      <c r="F14" s="11" t="n">
        <v>0.006435185185185185</v>
      </c>
      <c r="G14" t="inlineStr">
        <is>
          <t>L</t>
        </is>
      </c>
      <c r="H14" t="n">
        <v>1049</v>
      </c>
      <c r="I14" t="n">
        <v>1517</v>
      </c>
      <c r="J14" t="n">
        <v>2</v>
      </c>
      <c r="K14" t="n">
        <v>2</v>
      </c>
      <c r="L14" t="n">
        <v>2</v>
      </c>
      <c r="M14" s="5" t="n">
        <v>11.870827</v>
      </c>
      <c r="N14" s="5" t="n">
        <v>12.065367</v>
      </c>
      <c r="O14" s="5">
        <f>IF(OR(F14="",F14=0),"",M14/(F14*1440))</f>
        <v/>
      </c>
      <c r="P14" s="3" t="n">
        <v>594</v>
      </c>
      <c r="Q14" t="n">
        <v>0</v>
      </c>
      <c r="R14" t="inlineStr">
        <is>
          <t>Team fights</t>
        </is>
      </c>
      <c r="W14" t="n">
        <v>20</v>
      </c>
      <c r="Z14" s="5" t="n">
        <v>33</v>
      </c>
      <c r="AA14" s="6">
        <f>IF(Z14="","",M14/Z14)</f>
        <v/>
      </c>
      <c r="AB14" t="inlineStr">
        <is>
          <t>REFlex + scoreboard</t>
        </is>
      </c>
      <c r="AC14" t="inlineStr">
        <is>
          <t>Synthetic example</t>
        </is>
      </c>
      <c r="AI14" t="inlineStr">
        <is>
          <t>Yes</t>
        </is>
      </c>
      <c r="AJ14" t="inlineStr">
        <is>
          <t>2 of 3 (visible roster)</t>
        </is>
      </c>
    </row>
    <row r="15">
      <c r="A15" t="n">
        <v>11</v>
      </c>
      <c r="B15" s="10" t="n">
        <v>47773</v>
      </c>
      <c r="C15" t="inlineStr">
        <is>
          <t>05:24 PM</t>
        </is>
      </c>
      <c r="D15" t="inlineStr">
        <is>
          <t>The Battle for Gilneas</t>
        </is>
      </c>
      <c r="E15" t="inlineStr">
        <is>
          <t>Bases</t>
        </is>
      </c>
      <c r="F15" s="11" t="n">
        <v>0.004328703703703704</v>
      </c>
      <c r="G15" t="inlineStr">
        <is>
          <t>W</t>
        </is>
      </c>
      <c r="J15" t="n">
        <v>4</v>
      </c>
      <c r="K15" t="n">
        <v>8</v>
      </c>
      <c r="M15" s="5" t="n">
        <v>6.363427</v>
      </c>
      <c r="N15" s="5" t="n">
        <v>3.598767</v>
      </c>
      <c r="O15" s="5">
        <f>IF(OR(F15="",F15=0),"",M15/(F15*1440))</f>
        <v/>
      </c>
      <c r="P15" s="3" t="n">
        <v>1047</v>
      </c>
      <c r="AA15" s="6">
        <f>IF(Z15="","",M15/Z15)</f>
        <v/>
      </c>
      <c r="AB15" t="inlineStr">
        <is>
          <t>REFlex</t>
        </is>
      </c>
    </row>
    <row r="16">
      <c r="A16" t="n">
        <v>12</v>
      </c>
      <c r="B16" s="10" t="n">
        <v>47773</v>
      </c>
      <c r="C16" t="inlineStr">
        <is>
          <t>05:51 PM</t>
        </is>
      </c>
      <c r="D16" t="inlineStr">
        <is>
          <t>Arathi Basin</t>
        </is>
      </c>
      <c r="E16" t="inlineStr">
        <is>
          <t>Bases</t>
        </is>
      </c>
      <c r="F16" s="11" t="n">
        <v>0.008900462962962962</v>
      </c>
      <c r="G16" t="inlineStr">
        <is>
          <t>W</t>
        </is>
      </c>
      <c r="J16" t="n">
        <v>7</v>
      </c>
      <c r="K16" t="n">
        <v>10</v>
      </c>
      <c r="M16" s="5" t="n">
        <v>17.789227</v>
      </c>
      <c r="N16" s="5" t="n">
        <v>13.736767</v>
      </c>
      <c r="O16" s="5">
        <f>IF(OR(F16="",F16=0),"",M16/(F16*1440))</f>
        <v/>
      </c>
      <c r="P16" s="3" t="n">
        <v>950</v>
      </c>
      <c r="AA16" s="6">
        <f>IF(Z16="","",M16/Z16)</f>
        <v/>
      </c>
      <c r="AB16" t="inlineStr">
        <is>
          <t>REFlex</t>
        </is>
      </c>
    </row>
    <row r="17">
      <c r="A17" t="n">
        <v>13</v>
      </c>
      <c r="B17" s="10" t="n">
        <v>47773</v>
      </c>
      <c r="C17" t="inlineStr">
        <is>
          <t>06:11 PM</t>
        </is>
      </c>
      <c r="D17" t="inlineStr">
        <is>
          <t>Seething Shore</t>
        </is>
      </c>
      <c r="E17" t="inlineStr">
        <is>
          <t>Azerite</t>
        </is>
      </c>
      <c r="F17" s="11" t="n">
        <v>0.007731481481481482</v>
      </c>
      <c r="G17" t="inlineStr">
        <is>
          <t>L</t>
        </is>
      </c>
      <c r="J17" t="n">
        <v>0</v>
      </c>
      <c r="K17" t="n">
        <v>0</v>
      </c>
      <c r="M17" s="5" t="n">
        <v>36.722627</v>
      </c>
      <c r="N17" s="5" t="n">
        <v>16.010967</v>
      </c>
      <c r="O17" s="5">
        <f>IF(OR(F17="",F17=0),"",M17/(F17*1440))</f>
        <v/>
      </c>
      <c r="P17" s="3" t="n">
        <v>322</v>
      </c>
      <c r="AA17" s="6">
        <f>IF(Z17="","",M17/Z17)</f>
        <v/>
      </c>
      <c r="AB17" t="inlineStr">
        <is>
          <t>REFlex</t>
        </is>
      </c>
    </row>
    <row r="18">
      <c r="A18" t="n">
        <v>14</v>
      </c>
      <c r="B18" s="10" t="n">
        <v>47773</v>
      </c>
      <c r="C18" t="inlineStr">
        <is>
          <t>06:33 PM</t>
        </is>
      </c>
      <c r="D18" t="inlineStr">
        <is>
          <t>Arathi Basin</t>
        </is>
      </c>
      <c r="E18" t="inlineStr">
        <is>
          <t>Bases</t>
        </is>
      </c>
      <c r="F18" s="11" t="n">
        <v>0.009201388888888889</v>
      </c>
      <c r="G18" t="inlineStr">
        <is>
          <t>L</t>
        </is>
      </c>
      <c r="H18" t="n">
        <v>841</v>
      </c>
      <c r="I18" t="n">
        <v>1517</v>
      </c>
      <c r="J18" t="n">
        <v>4</v>
      </c>
      <c r="K18" t="n">
        <v>1</v>
      </c>
      <c r="L18" t="n">
        <v>4</v>
      </c>
      <c r="M18" s="5" t="n">
        <v>25.981827</v>
      </c>
      <c r="N18" s="5" t="n">
        <v>18.860567</v>
      </c>
      <c r="O18" s="5">
        <f>IF(OR(F18="",F18=0),"",M18/(F18*1440))</f>
        <v/>
      </c>
      <c r="P18" s="3" t="n">
        <v>373</v>
      </c>
      <c r="Q18" t="n">
        <v>0</v>
      </c>
      <c r="R18" t="inlineStr">
        <is>
          <t>Base defense</t>
        </is>
      </c>
      <c r="S18" t="n">
        <v>0</v>
      </c>
      <c r="T18" t="n">
        <v>0</v>
      </c>
      <c r="Z18" s="5" t="n">
        <v>58</v>
      </c>
      <c r="AA18" s="6">
        <f>IF(Z18="","",M18/Z18)</f>
        <v/>
      </c>
      <c r="AB18" t="inlineStr">
        <is>
          <t>REFlex + scoreboard</t>
        </is>
      </c>
      <c r="AC18" t="inlineStr">
        <is>
          <t>Synthetic example</t>
        </is>
      </c>
      <c r="AI18" t="inlineStr">
        <is>
          <t>No</t>
        </is>
      </c>
      <c r="AJ18" t="inlineStr">
        <is>
          <t>1 of 1 (visible roster)</t>
        </is>
      </c>
    </row>
    <row r="19">
      <c r="A19" t="n">
        <v>15</v>
      </c>
      <c r="B19" s="10" t="n">
        <v>47773</v>
      </c>
      <c r="C19" t="inlineStr">
        <is>
          <t>06:54 PM</t>
        </is>
      </c>
      <c r="D19" t="inlineStr">
        <is>
          <t>Deepwind Gorge</t>
        </is>
      </c>
      <c r="E19" t="inlineStr">
        <is>
          <t>Bases</t>
        </is>
      </c>
      <c r="F19" s="11" t="n">
        <v>0.009120370370370371</v>
      </c>
      <c r="G19" t="inlineStr">
        <is>
          <t>L</t>
        </is>
      </c>
      <c r="H19" t="n">
        <v>900</v>
      </c>
      <c r="I19" t="n">
        <v>1517</v>
      </c>
      <c r="J19" t="n">
        <v>0</v>
      </c>
      <c r="K19" t="n">
        <v>6</v>
      </c>
      <c r="L19" t="n">
        <v>5</v>
      </c>
      <c r="M19" s="5" t="n">
        <v>24.940627</v>
      </c>
      <c r="N19" s="5" t="n">
        <v>10.476167</v>
      </c>
      <c r="O19" s="5">
        <f>IF(OR(F19="",F19=0),"",M19/(F19*1440))</f>
        <v/>
      </c>
      <c r="P19" s="3" t="n">
        <v>344</v>
      </c>
      <c r="Q19" t="n">
        <v>0</v>
      </c>
      <c r="R19" t="inlineStr">
        <is>
          <t>Base defense</t>
        </is>
      </c>
      <c r="S19" t="n">
        <v>18</v>
      </c>
      <c r="T19" t="n">
        <v>0</v>
      </c>
      <c r="Z19" s="5" t="n">
        <v>35</v>
      </c>
      <c r="AA19" s="6">
        <f>IF(Z19="","",M19/Z19)</f>
        <v/>
      </c>
      <c r="AB19" t="inlineStr">
        <is>
          <t>REFlex + scoreboard</t>
        </is>
      </c>
      <c r="AC19" t="inlineStr">
        <is>
          <t>Synthetic example</t>
        </is>
      </c>
      <c r="AI19" t="inlineStr">
        <is>
          <t>No</t>
        </is>
      </c>
      <c r="AJ19" t="inlineStr">
        <is>
          <t>1 of 1 (visible roster)</t>
        </is>
      </c>
    </row>
    <row r="20">
      <c r="A20" t="n">
        <v>16</v>
      </c>
      <c r="B20" s="10" t="n">
        <v>47773</v>
      </c>
      <c r="C20" t="inlineStr">
        <is>
          <t>07:09 PM</t>
        </is>
      </c>
      <c r="D20" t="inlineStr">
        <is>
          <t>Twin Peaks</t>
        </is>
      </c>
      <c r="E20" t="inlineStr">
        <is>
          <t>Flag</t>
        </is>
      </c>
      <c r="F20" s="11" t="n">
        <v>0.007199074074074074</v>
      </c>
      <c r="G20" t="inlineStr">
        <is>
          <t>W</t>
        </is>
      </c>
      <c r="H20" t="n">
        <v>20</v>
      </c>
      <c r="I20" t="n">
        <v>0</v>
      </c>
      <c r="J20" t="n">
        <v>0</v>
      </c>
      <c r="K20" t="n">
        <v>3</v>
      </c>
      <c r="L20" t="n">
        <v>4</v>
      </c>
      <c r="M20" s="5" t="n">
        <v>14.008027</v>
      </c>
      <c r="N20" s="5" t="n">
        <v>11.270767</v>
      </c>
      <c r="O20" s="5">
        <f>IF(OR(F20="",F20=0),"",M20/(F20*1440))</f>
        <v/>
      </c>
      <c r="P20" s="3" t="n">
        <v>704</v>
      </c>
      <c r="Q20" t="n">
        <v>35</v>
      </c>
      <c r="R20" t="inlineStr">
        <is>
          <t>Flag carrier</t>
        </is>
      </c>
      <c r="U20" t="n">
        <v>19</v>
      </c>
      <c r="V20" t="n">
        <v>0</v>
      </c>
      <c r="Z20" s="5" t="n">
        <v>44</v>
      </c>
      <c r="AA20" s="6">
        <f>IF(Z20="","",M20/Z20)</f>
        <v/>
      </c>
      <c r="AB20" t="inlineStr">
        <is>
          <t>REFlex + scoreboard</t>
        </is>
      </c>
      <c r="AC20" t="inlineStr">
        <is>
          <t>Synthetic example</t>
        </is>
      </c>
      <c r="AI20" t="inlineStr">
        <is>
          <t>No</t>
        </is>
      </c>
      <c r="AJ20" t="inlineStr">
        <is>
          <t>1 of 1 (visible roster)</t>
        </is>
      </c>
    </row>
    <row r="21">
      <c r="A21" t="n">
        <v>17</v>
      </c>
      <c r="B21" s="10" t="n">
        <v>47773</v>
      </c>
      <c r="C21" t="inlineStr">
        <is>
          <t>07:27 PM</t>
        </is>
      </c>
      <c r="D21" t="inlineStr">
        <is>
          <t>Deephaul Ravine</t>
        </is>
      </c>
      <c r="E21" t="inlineStr">
        <is>
          <t>Carts</t>
        </is>
      </c>
      <c r="F21" s="11" t="n">
        <v>0.005810185185185186</v>
      </c>
      <c r="G21" t="inlineStr">
        <is>
          <t>L</t>
        </is>
      </c>
      <c r="J21" t="n">
        <v>10</v>
      </c>
      <c r="K21" t="n">
        <v>4</v>
      </c>
      <c r="M21" s="5" t="n">
        <v>24.694027</v>
      </c>
      <c r="N21" s="5" t="n">
        <v>8.832167</v>
      </c>
      <c r="O21" s="5">
        <f>IF(OR(F21="",F21=0),"",M21/(F21*1440))</f>
        <v/>
      </c>
      <c r="P21" s="3" t="n">
        <v>211</v>
      </c>
      <c r="AA21" s="6">
        <f>IF(Z21="","",M21/Z21)</f>
        <v/>
      </c>
      <c r="AB21" t="inlineStr">
        <is>
          <t>REFlex</t>
        </is>
      </c>
    </row>
    <row r="22">
      <c r="A22" t="n">
        <v>18</v>
      </c>
      <c r="B22" s="10" t="n">
        <v>47774</v>
      </c>
      <c r="C22" t="inlineStr">
        <is>
          <t>09:17 AM</t>
        </is>
      </c>
      <c r="D22" t="inlineStr">
        <is>
          <t>Deephaul Ravine</t>
        </is>
      </c>
      <c r="E22" t="inlineStr">
        <is>
          <t>Carts</t>
        </is>
      </c>
      <c r="F22" s="11" t="n">
        <v>0.005150462962962963</v>
      </c>
      <c r="G22" t="inlineStr">
        <is>
          <t>W</t>
        </is>
      </c>
      <c r="J22" t="n">
        <v>10</v>
      </c>
      <c r="K22" t="n">
        <v>0</v>
      </c>
      <c r="M22" s="5" t="n">
        <v>29.324627</v>
      </c>
      <c r="N22" s="5" t="n">
        <v>7.900567</v>
      </c>
      <c r="O22" s="5">
        <f>IF(OR(F22="",F22=0),"",M22/(F22*1440))</f>
        <v/>
      </c>
      <c r="P22" s="3" t="n">
        <v>1024</v>
      </c>
      <c r="AA22" s="6">
        <f>IF(Z22="","",M22/Z22)</f>
        <v/>
      </c>
      <c r="AB22" t="inlineStr">
        <is>
          <t>REFlex</t>
        </is>
      </c>
    </row>
    <row r="23">
      <c r="A23" t="n">
        <v>19</v>
      </c>
      <c r="B23" s="10" t="n">
        <v>47774</v>
      </c>
      <c r="C23" t="inlineStr">
        <is>
          <t>09:38 AM</t>
        </is>
      </c>
      <c r="D23" t="inlineStr">
        <is>
          <t>Eye of the Storm</t>
        </is>
      </c>
      <c r="E23" t="inlineStr">
        <is>
          <t>Flag + Bases</t>
        </is>
      </c>
      <c r="F23" s="11" t="n">
        <v>0.007719907407407407</v>
      </c>
      <c r="G23" t="inlineStr">
        <is>
          <t>L</t>
        </is>
      </c>
      <c r="J23" t="n">
        <v>4</v>
      </c>
      <c r="K23" t="n">
        <v>1</v>
      </c>
      <c r="M23" s="5" t="n">
        <v>27.488827</v>
      </c>
      <c r="N23" s="5" t="n">
        <v>18.833167</v>
      </c>
      <c r="O23" s="5">
        <f>IF(OR(F23="",F23=0),"",M23/(F23*1440))</f>
        <v/>
      </c>
      <c r="P23" s="3" t="n">
        <v>242</v>
      </c>
      <c r="AA23" s="6">
        <f>IF(Z23="","",M23/Z23)</f>
        <v/>
      </c>
      <c r="AB23" t="inlineStr">
        <is>
          <t>REFlex</t>
        </is>
      </c>
      <c r="AC23" t="inlineStr">
        <is>
          <t>Synthetic example</t>
        </is>
      </c>
    </row>
    <row r="24">
      <c r="A24" t="n">
        <v>20</v>
      </c>
      <c r="B24" s="10" t="n">
        <v>47774</v>
      </c>
      <c r="C24" t="inlineStr">
        <is>
          <t>09:52 AM</t>
        </is>
      </c>
      <c r="D24" t="inlineStr">
        <is>
          <t>Eye of the Storm</t>
        </is>
      </c>
      <c r="E24" t="inlineStr">
        <is>
          <t>Flag + Bases</t>
        </is>
      </c>
      <c r="F24" s="11" t="n">
        <v>0.007164351851851851</v>
      </c>
      <c r="G24" t="inlineStr">
        <is>
          <t>L</t>
        </is>
      </c>
      <c r="J24" t="n">
        <v>7</v>
      </c>
      <c r="K24" t="n">
        <v>0</v>
      </c>
      <c r="M24" s="5" t="n">
        <v>22.063627</v>
      </c>
      <c r="N24" s="5" t="n">
        <v>18.997567</v>
      </c>
      <c r="O24" s="5">
        <f>IF(OR(F24="",F24=0),"",M24/(F24*1440))</f>
        <v/>
      </c>
      <c r="P24" s="3" t="n">
        <v>285</v>
      </c>
      <c r="AA24" s="6">
        <f>IF(Z24="","",M24/Z24)</f>
        <v/>
      </c>
      <c r="AB24" t="inlineStr">
        <is>
          <t>REFlex</t>
        </is>
      </c>
      <c r="AC24" t="inlineStr">
        <is>
          <t>Synthetic example</t>
        </is>
      </c>
    </row>
    <row r="25">
      <c r="A25" t="n">
        <v>21</v>
      </c>
      <c r="B25" s="10" t="n">
        <v>47774</v>
      </c>
      <c r="C25" t="inlineStr">
        <is>
          <t>10:20 AM</t>
        </is>
      </c>
      <c r="D25" t="inlineStr">
        <is>
          <t>Ashran</t>
        </is>
      </c>
      <c r="E25" t="inlineStr">
        <is>
          <t>Epic</t>
        </is>
      </c>
      <c r="F25" s="11" t="n">
        <v>0.01512731481481482</v>
      </c>
      <c r="G25" t="inlineStr">
        <is>
          <t>W</t>
        </is>
      </c>
      <c r="J25" t="n">
        <v>4</v>
      </c>
      <c r="K25" t="n">
        <v>5</v>
      </c>
      <c r="M25" s="5" t="n">
        <v>71.191827</v>
      </c>
      <c r="N25" s="5" t="n">
        <v>36.560967</v>
      </c>
      <c r="O25" s="5">
        <f>IF(OR(F25="",F25=0),"",M25/(F25*1440))</f>
        <v/>
      </c>
      <c r="P25" s="3" t="n">
        <v>1659</v>
      </c>
      <c r="AA25" s="6">
        <f>IF(Z25="","",M25/Z25)</f>
        <v/>
      </c>
      <c r="AB25" t="inlineStr">
        <is>
          <t>REFlex</t>
        </is>
      </c>
    </row>
    <row r="26">
      <c r="A26" t="n">
        <v>22</v>
      </c>
      <c r="B26" s="10" t="n">
        <v>47774</v>
      </c>
      <c r="C26" t="inlineStr">
        <is>
          <t>10:38 AM</t>
        </is>
      </c>
      <c r="D26" t="inlineStr">
        <is>
          <t>The Battle for Gilneas</t>
        </is>
      </c>
      <c r="E26" t="inlineStr">
        <is>
          <t>Bases</t>
        </is>
      </c>
      <c r="F26" s="11" t="n">
        <v>0.002523148148148148</v>
      </c>
      <c r="G26" t="inlineStr">
        <is>
          <t>L</t>
        </is>
      </c>
      <c r="J26" t="n">
        <v>0</v>
      </c>
      <c r="K26" t="n">
        <v>0</v>
      </c>
      <c r="M26" s="5" t="n">
        <v>18.392027</v>
      </c>
      <c r="N26" s="5" t="n">
        <v>6.064767</v>
      </c>
      <c r="O26" s="5">
        <f>IF(OR(F26="",F26=0),"",M26/(F26*1440))</f>
        <v/>
      </c>
      <c r="P26" s="3" t="n">
        <v>249</v>
      </c>
      <c r="AA26" s="6">
        <f>IF(Z26="","",M26/Z26)</f>
        <v/>
      </c>
      <c r="AB26" t="inlineStr">
        <is>
          <t>REFlex</t>
        </is>
      </c>
      <c r="AC26" t="inlineStr">
        <is>
          <t>Synthetic example</t>
        </is>
      </c>
    </row>
    <row r="27">
      <c r="A27" t="n">
        <v>23</v>
      </c>
      <c r="B27" s="10" t="n">
        <v>47774</v>
      </c>
      <c r="C27" t="inlineStr">
        <is>
          <t>11:00 AM</t>
        </is>
      </c>
      <c r="D27" t="inlineStr">
        <is>
          <t>Eye of the Storm</t>
        </is>
      </c>
      <c r="E27" t="inlineStr">
        <is>
          <t>Flag + Bases</t>
        </is>
      </c>
      <c r="F27" s="11" t="n">
        <v>0.01126157407407407</v>
      </c>
      <c r="G27" t="inlineStr">
        <is>
          <t>L</t>
        </is>
      </c>
      <c r="J27" t="n">
        <v>7</v>
      </c>
      <c r="K27" t="n">
        <v>4</v>
      </c>
      <c r="M27" s="5" t="n">
        <v>54.861427</v>
      </c>
      <c r="N27" s="5" t="n">
        <v>14.312167</v>
      </c>
      <c r="O27" s="5">
        <f>IF(OR(F27="",F27=0),"",M27/(F27*1440))</f>
        <v/>
      </c>
      <c r="P27" s="3" t="n">
        <v>652</v>
      </c>
      <c r="AA27" s="6">
        <f>IF(Z27="","",M27/Z27)</f>
        <v/>
      </c>
      <c r="AB27" t="inlineStr">
        <is>
          <t>REFlex</t>
        </is>
      </c>
    </row>
    <row r="28">
      <c r="A28" t="n">
        <v>24</v>
      </c>
      <c r="B28" s="10" t="n">
        <v>47774</v>
      </c>
      <c r="C28" t="inlineStr">
        <is>
          <t>11:17 AM</t>
        </is>
      </c>
      <c r="D28" t="inlineStr">
        <is>
          <t>Eye of the Storm</t>
        </is>
      </c>
      <c r="E28" t="inlineStr">
        <is>
          <t>Flag + Bases</t>
        </is>
      </c>
      <c r="F28" s="11" t="n">
        <v>0.008159722222222223</v>
      </c>
      <c r="G28" t="inlineStr">
        <is>
          <t>W</t>
        </is>
      </c>
      <c r="J28" t="n">
        <v>10</v>
      </c>
      <c r="K28" t="n">
        <v>10</v>
      </c>
      <c r="M28" s="5" t="n">
        <v>21.241627</v>
      </c>
      <c r="N28" s="5" t="n">
        <v>12.120167</v>
      </c>
      <c r="O28" s="5">
        <f>IF(OR(F28="",F28=0),"",M28/(F28*1440))</f>
        <v/>
      </c>
      <c r="P28" s="3" t="n">
        <v>931</v>
      </c>
      <c r="AA28" s="6">
        <f>IF(Z28="","",M28/Z28)</f>
        <v/>
      </c>
      <c r="AB28" t="inlineStr">
        <is>
          <t>REFlex</t>
        </is>
      </c>
      <c r="AC28" t="inlineStr">
        <is>
          <t>Synthetic example</t>
        </is>
      </c>
    </row>
    <row r="29">
      <c r="A29" t="n">
        <v>25</v>
      </c>
      <c r="B29" s="10" t="n">
        <v>47774</v>
      </c>
      <c r="C29" t="inlineStr">
        <is>
          <t>11:29 AM</t>
        </is>
      </c>
      <c r="D29" t="inlineStr">
        <is>
          <t>Temple of Kotmogu</t>
        </is>
      </c>
      <c r="E29" t="inlineStr">
        <is>
          <t>Orbs</t>
        </is>
      </c>
      <c r="F29" s="11" t="n">
        <v>0.004502314814814815</v>
      </c>
      <c r="G29" t="inlineStr">
        <is>
          <t>L</t>
        </is>
      </c>
      <c r="J29" t="n">
        <v>7</v>
      </c>
      <c r="K29" t="n">
        <v>6</v>
      </c>
      <c r="M29" s="5" t="n">
        <v>17.898827</v>
      </c>
      <c r="N29" s="5" t="n">
        <v>12.805167</v>
      </c>
      <c r="O29" s="5">
        <f>IF(OR(F29="",F29=0),"",M29/(F29*1440))</f>
        <v/>
      </c>
      <c r="P29" s="3" t="n">
        <v>341</v>
      </c>
      <c r="AA29" s="6">
        <f>IF(Z29="","",M29/Z29)</f>
        <v/>
      </c>
      <c r="AB29" t="inlineStr">
        <is>
          <t>REFlex</t>
        </is>
      </c>
    </row>
    <row r="30">
      <c r="A30" t="n">
        <v>26</v>
      </c>
      <c r="B30" s="10" t="n">
        <v>47774</v>
      </c>
      <c r="C30" t="inlineStr">
        <is>
          <t>11:43 AM</t>
        </is>
      </c>
      <c r="D30" t="inlineStr">
        <is>
          <t>Deephaul Ravine</t>
        </is>
      </c>
      <c r="E30" t="inlineStr">
        <is>
          <t>Carts</t>
        </is>
      </c>
      <c r="F30" s="11" t="n">
        <v>0.004027777777777778</v>
      </c>
      <c r="G30" t="inlineStr">
        <is>
          <t>L</t>
        </is>
      </c>
      <c r="J30" t="n">
        <v>0</v>
      </c>
      <c r="K30" t="n">
        <v>0</v>
      </c>
      <c r="M30" s="5" t="n">
        <v>3.157627</v>
      </c>
      <c r="N30" s="5" t="n">
        <v>4.722167</v>
      </c>
      <c r="O30" s="5">
        <f>IF(OR(F30="",F30=0),"",M30/(F30*1440))</f>
        <v/>
      </c>
      <c r="P30" s="3" t="n">
        <v>252</v>
      </c>
      <c r="AA30" s="6">
        <f>IF(Z30="","",M30/Z30)</f>
        <v/>
      </c>
      <c r="AB30" t="inlineStr">
        <is>
          <t>REFlex</t>
        </is>
      </c>
      <c r="AC30" t="inlineStr">
        <is>
          <t>Synthetic example</t>
        </is>
      </c>
    </row>
    <row r="31">
      <c r="A31" t="n">
        <v>27</v>
      </c>
      <c r="B31" s="10" t="n">
        <v>47774</v>
      </c>
      <c r="C31" t="inlineStr">
        <is>
          <t>12:02 PM</t>
        </is>
      </c>
      <c r="D31" t="inlineStr">
        <is>
          <t>Twin Peaks</t>
        </is>
      </c>
      <c r="E31" t="inlineStr">
        <is>
          <t>Flag</t>
        </is>
      </c>
      <c r="F31" s="11" t="n">
        <v>0.008298611111111111</v>
      </c>
      <c r="G31" t="inlineStr">
        <is>
          <t>W</t>
        </is>
      </c>
      <c r="J31" t="n">
        <v>4</v>
      </c>
      <c r="K31" t="n">
        <v>9</v>
      </c>
      <c r="M31" s="5" t="n">
        <v>40.449027</v>
      </c>
      <c r="N31" s="5" t="n">
        <v>13.791567</v>
      </c>
      <c r="O31" s="5">
        <f>IF(OR(F31="",F31=0),"",M31/(F31*1440))</f>
        <v/>
      </c>
      <c r="P31" s="3" t="n">
        <v>1010</v>
      </c>
      <c r="AA31" s="6">
        <f>IF(Z31="","",M31/Z31)</f>
        <v/>
      </c>
      <c r="AB31" t="inlineStr">
        <is>
          <t>REFlex</t>
        </is>
      </c>
    </row>
    <row r="32">
      <c r="A32" t="n">
        <v>28</v>
      </c>
      <c r="B32" s="10" t="n">
        <v>47774</v>
      </c>
      <c r="C32" t="inlineStr">
        <is>
          <t>12:25 PM</t>
        </is>
      </c>
      <c r="D32" t="inlineStr">
        <is>
          <t>Silvershard Mines</t>
        </is>
      </c>
      <c r="E32" t="inlineStr">
        <is>
          <t>Carts</t>
        </is>
      </c>
      <c r="F32" s="11" t="n">
        <v>0.007581018518518518</v>
      </c>
      <c r="G32" t="inlineStr">
        <is>
          <t>L</t>
        </is>
      </c>
      <c r="J32" t="n">
        <v>2</v>
      </c>
      <c r="K32" t="n">
        <v>3</v>
      </c>
      <c r="M32" s="5" t="n">
        <v>40.394227</v>
      </c>
      <c r="N32" s="5" t="n">
        <v>17.326167</v>
      </c>
      <c r="O32" s="5">
        <f>IF(OR(F32="",F32=0),"",M32/(F32*1440))</f>
        <v/>
      </c>
      <c r="P32" s="3" t="n">
        <v>584</v>
      </c>
      <c r="AA32" s="6">
        <f>IF(Z32="","",M32/Z32)</f>
        <v/>
      </c>
      <c r="AB32" t="inlineStr">
        <is>
          <t>REFlex</t>
        </is>
      </c>
    </row>
    <row r="33">
      <c r="A33" t="n">
        <v>29</v>
      </c>
      <c r="B33" s="10" t="n">
        <v>47774</v>
      </c>
      <c r="C33" t="inlineStr">
        <is>
          <t>01:36 PM</t>
        </is>
      </c>
      <c r="D33" t="inlineStr">
        <is>
          <t>Deepwind Gorge</t>
        </is>
      </c>
      <c r="E33" t="inlineStr">
        <is>
          <t>Bases</t>
        </is>
      </c>
      <c r="F33" s="11" t="n">
        <v>0.01109953703703704</v>
      </c>
      <c r="G33" t="inlineStr">
        <is>
          <t>W</t>
        </is>
      </c>
      <c r="J33" t="n">
        <v>4</v>
      </c>
      <c r="K33" t="n">
        <v>7</v>
      </c>
      <c r="M33" s="5" t="n">
        <v>25.872227</v>
      </c>
      <c r="N33" s="5" t="n">
        <v>7.352567</v>
      </c>
      <c r="O33" s="5">
        <f>IF(OR(F33="",F33=0),"",M33/(F33*1440))</f>
        <v/>
      </c>
      <c r="P33" s="3" t="n">
        <v>837</v>
      </c>
      <c r="AA33" s="6">
        <f>IF(Z33="","",M33/Z33)</f>
        <v/>
      </c>
      <c r="AB33" t="inlineStr">
        <is>
          <t>REFlex</t>
        </is>
      </c>
    </row>
    <row r="34">
      <c r="A34" t="n">
        <v>30</v>
      </c>
      <c r="B34" s="10" t="n">
        <v>47774</v>
      </c>
      <c r="C34" t="inlineStr">
        <is>
          <t>01:57 PM</t>
        </is>
      </c>
      <c r="D34" t="inlineStr">
        <is>
          <t>The Battle for Gilneas</t>
        </is>
      </c>
      <c r="E34" t="inlineStr">
        <is>
          <t>Bases</t>
        </is>
      </c>
      <c r="F34" s="11" t="n">
        <v>0.004965277777777778</v>
      </c>
      <c r="G34" t="inlineStr">
        <is>
          <t>W</t>
        </is>
      </c>
      <c r="J34" t="n">
        <v>2</v>
      </c>
      <c r="K34" t="n">
        <v>7</v>
      </c>
      <c r="M34" s="5" t="n">
        <v>22.365027</v>
      </c>
      <c r="N34" s="5" t="n">
        <v>7.571767</v>
      </c>
      <c r="O34" s="5">
        <f>IF(OR(F34="",F34=0),"",M34/(F34*1440))</f>
        <v/>
      </c>
      <c r="P34" s="3" t="n">
        <v>945</v>
      </c>
      <c r="AA34" s="6">
        <f>IF(Z34="","",M34/Z34)</f>
        <v/>
      </c>
      <c r="AB34" t="inlineStr">
        <is>
          <t>REFlex</t>
        </is>
      </c>
    </row>
    <row r="35">
      <c r="A35" t="n">
        <v>31</v>
      </c>
      <c r="B35" s="10" t="n">
        <v>47774</v>
      </c>
      <c r="C35" t="inlineStr">
        <is>
          <t>02:16 PM</t>
        </is>
      </c>
      <c r="D35" t="inlineStr">
        <is>
          <t>Arathi Basin</t>
        </is>
      </c>
      <c r="E35" t="inlineStr">
        <is>
          <t>Bases</t>
        </is>
      </c>
      <c r="F35" s="11" t="n">
        <v>0.01064814814814815</v>
      </c>
      <c r="G35" t="inlineStr">
        <is>
          <t>L</t>
        </is>
      </c>
      <c r="J35" t="n">
        <v>10</v>
      </c>
      <c r="K35" t="n">
        <v>6</v>
      </c>
      <c r="M35" s="5" t="n">
        <v>23.515827</v>
      </c>
      <c r="N35" s="5" t="n">
        <v>18.531767</v>
      </c>
      <c r="O35" s="5">
        <f>IF(OR(F35="",F35=0),"",M35/(F35*1440))</f>
        <v/>
      </c>
      <c r="P35" s="3" t="n">
        <v>664</v>
      </c>
      <c r="AA35" s="6">
        <f>IF(Z35="","",M35/Z35)</f>
        <v/>
      </c>
      <c r="AB35" t="inlineStr">
        <is>
          <t>REFlex</t>
        </is>
      </c>
    </row>
    <row r="36">
      <c r="A36" t="n">
        <v>32</v>
      </c>
      <c r="B36" s="10" t="n">
        <v>47774</v>
      </c>
      <c r="C36" t="inlineStr">
        <is>
          <t>02:30 PM</t>
        </is>
      </c>
      <c r="D36" t="inlineStr">
        <is>
          <t>Deephaul Ravine</t>
        </is>
      </c>
      <c r="E36" t="inlineStr">
        <is>
          <t>Carts</t>
        </is>
      </c>
      <c r="F36" s="11" t="n">
        <v>0.005023148148148148</v>
      </c>
      <c r="G36" t="inlineStr">
        <is>
          <t>L</t>
        </is>
      </c>
      <c r="J36" t="n">
        <v>0</v>
      </c>
      <c r="K36" t="n">
        <v>10</v>
      </c>
      <c r="M36" s="5" t="n">
        <v>22.008827</v>
      </c>
      <c r="N36" s="5" t="n">
        <v>5.982567</v>
      </c>
      <c r="O36" s="5">
        <f>IF(OR(F36="",F36=0),"",M36/(F36*1440))</f>
        <v/>
      </c>
      <c r="P36" s="3" t="n">
        <v>305</v>
      </c>
      <c r="AA36" s="6">
        <f>IF(Z36="","",M36/Z36)</f>
        <v/>
      </c>
      <c r="AB36" t="inlineStr">
        <is>
          <t>REFlex</t>
        </is>
      </c>
    </row>
    <row r="37">
      <c r="A37" t="n">
        <v>33</v>
      </c>
      <c r="B37" s="10" t="n">
        <v>47774</v>
      </c>
      <c r="C37" t="inlineStr">
        <is>
          <t>02:49 PM</t>
        </is>
      </c>
      <c r="D37" t="inlineStr">
        <is>
          <t>Arathi Basin</t>
        </is>
      </c>
      <c r="E37" t="inlineStr">
        <is>
          <t>Bases</t>
        </is>
      </c>
      <c r="F37" s="11" t="n">
        <v>0.009201388888888889</v>
      </c>
      <c r="G37" t="inlineStr">
        <is>
          <t>L</t>
        </is>
      </c>
      <c r="H37" t="n">
        <v>816</v>
      </c>
      <c r="I37" t="n">
        <v>1517</v>
      </c>
      <c r="J37" t="n">
        <v>4</v>
      </c>
      <c r="K37" t="n">
        <v>3</v>
      </c>
      <c r="L37" t="n">
        <v>8</v>
      </c>
      <c r="M37" s="5" t="n">
        <v>32.612627</v>
      </c>
      <c r="N37" s="5" t="n">
        <v>17.298767</v>
      </c>
      <c r="O37" s="5">
        <f>IF(OR(F37="",F37=0),"",M37/(F37*1440))</f>
        <v/>
      </c>
      <c r="P37" s="3" t="n">
        <v>505</v>
      </c>
      <c r="Q37" t="n">
        <v>0</v>
      </c>
      <c r="R37" t="inlineStr">
        <is>
          <t>Base defense</t>
        </is>
      </c>
      <c r="S37" t="n">
        <v>18</v>
      </c>
      <c r="T37" t="n">
        <v>18</v>
      </c>
      <c r="Z37" s="5" t="n">
        <v>45</v>
      </c>
      <c r="AA37" s="6">
        <f>IF(Z37="","",M37/Z37)</f>
        <v/>
      </c>
      <c r="AB37" t="inlineStr">
        <is>
          <t>REFlex + scoreboard</t>
        </is>
      </c>
      <c r="AC37" t="inlineStr">
        <is>
          <t>Synthetic example</t>
        </is>
      </c>
      <c r="AI37" t="inlineStr">
        <is>
          <t>No</t>
        </is>
      </c>
      <c r="AJ37" t="inlineStr">
        <is>
          <t>1 of 1 (visible roster)</t>
        </is>
      </c>
    </row>
    <row r="38">
      <c r="A38" t="n">
        <v>34</v>
      </c>
      <c r="B38" s="10" t="n">
        <v>47774</v>
      </c>
      <c r="C38" t="inlineStr">
        <is>
          <t>03:00 PM</t>
        </is>
      </c>
      <c r="D38" t="inlineStr">
        <is>
          <t>Seething Shore</t>
        </is>
      </c>
      <c r="E38" t="inlineStr">
        <is>
          <t>Azerite</t>
        </is>
      </c>
      <c r="F38" s="11" t="n">
        <v>0.003865740740740741</v>
      </c>
      <c r="G38" t="inlineStr">
        <is>
          <t>L</t>
        </is>
      </c>
      <c r="J38" t="n">
        <v>0</v>
      </c>
      <c r="K38" t="n">
        <v>0</v>
      </c>
      <c r="M38" s="5" t="n">
        <v>9.048627</v>
      </c>
      <c r="N38" s="5" t="n">
        <v>8.284167</v>
      </c>
      <c r="O38" s="5">
        <f>IF(OR(F38="",F38=0),"",M38/(F38*1440))</f>
        <v/>
      </c>
      <c r="P38" s="3" t="n">
        <v>230</v>
      </c>
      <c r="AA38" s="6">
        <f>IF(Z38="","",M38/Z38)</f>
        <v/>
      </c>
      <c r="AB38" t="inlineStr">
        <is>
          <t>REFlex</t>
        </is>
      </c>
      <c r="AC38" t="inlineStr">
        <is>
          <t>Synthetic example</t>
        </is>
      </c>
    </row>
    <row r="39">
      <c r="A39" t="n">
        <v>35</v>
      </c>
      <c r="B39" s="10" t="n">
        <v>47774</v>
      </c>
      <c r="C39" t="inlineStr">
        <is>
          <t>03:19 PM</t>
        </is>
      </c>
      <c r="D39" t="inlineStr">
        <is>
          <t>Deepwind Gorge</t>
        </is>
      </c>
      <c r="E39" t="inlineStr">
        <is>
          <t>Bases</t>
        </is>
      </c>
      <c r="F39" s="11" t="n">
        <v>0.009386574074074073</v>
      </c>
      <c r="G39" t="inlineStr">
        <is>
          <t>W</t>
        </is>
      </c>
      <c r="J39" t="n">
        <v>10</v>
      </c>
      <c r="K39" t="n">
        <v>2</v>
      </c>
      <c r="M39" s="5" t="n">
        <v>31.790627</v>
      </c>
      <c r="N39" s="5" t="n">
        <v>15.353367</v>
      </c>
      <c r="O39" s="5">
        <f>IF(OR(F39="",F39=0),"",M39/(F39*1440))</f>
        <v/>
      </c>
      <c r="P39" s="3" t="n">
        <v>887</v>
      </c>
      <c r="AA39" s="6">
        <f>IF(Z39="","",M39/Z39)</f>
        <v/>
      </c>
      <c r="AB39" t="inlineStr">
        <is>
          <t>REFlex</t>
        </is>
      </c>
    </row>
    <row r="40">
      <c r="A40" t="n">
        <v>36</v>
      </c>
      <c r="B40" s="10" t="n">
        <v>47774</v>
      </c>
      <c r="C40" t="inlineStr">
        <is>
          <t>03:41 PM</t>
        </is>
      </c>
      <c r="D40" t="inlineStr">
        <is>
          <t>The Battle for Gilneas</t>
        </is>
      </c>
      <c r="E40" t="inlineStr">
        <is>
          <t>Bases</t>
        </is>
      </c>
      <c r="F40" s="11" t="n">
        <v>0.009305555555555555</v>
      </c>
      <c r="G40" t="inlineStr">
        <is>
          <t>L</t>
        </is>
      </c>
      <c r="J40" t="n">
        <v>0</v>
      </c>
      <c r="K40" t="n">
        <v>2</v>
      </c>
      <c r="M40" s="5" t="n">
        <v>9.733627</v>
      </c>
      <c r="N40" s="5" t="n">
        <v>8.448567000000001</v>
      </c>
      <c r="O40" s="5">
        <f>IF(OR(F40="",F40=0),"",M40/(F40*1440))</f>
        <v/>
      </c>
      <c r="P40" s="3" t="n">
        <v>508</v>
      </c>
      <c r="AA40" s="6">
        <f>IF(Z40="","",M40/Z40)</f>
        <v/>
      </c>
      <c r="AB40" t="inlineStr">
        <is>
          <t>REFlex</t>
        </is>
      </c>
    </row>
    <row r="41">
      <c r="A41" t="n">
        <v>37</v>
      </c>
      <c r="B41" s="10" t="n">
        <v>47774</v>
      </c>
      <c r="C41" t="inlineStr">
        <is>
          <t>03:56 PM</t>
        </is>
      </c>
      <c r="D41" t="inlineStr">
        <is>
          <t>The Battle for Gilneas</t>
        </is>
      </c>
      <c r="E41" t="inlineStr">
        <is>
          <t>Bases</t>
        </is>
      </c>
      <c r="F41" s="11" t="n">
        <v>0.006921296296296296</v>
      </c>
      <c r="G41" t="inlineStr">
        <is>
          <t>W</t>
        </is>
      </c>
      <c r="J41" t="n">
        <v>7</v>
      </c>
      <c r="K41" t="n">
        <v>2</v>
      </c>
      <c r="M41" s="5" t="n">
        <v>7.651227</v>
      </c>
      <c r="N41" s="5" t="n">
        <v>6.201767</v>
      </c>
      <c r="O41" s="5">
        <f>IF(OR(F41="",F41=0),"",M41/(F41*1440))</f>
        <v/>
      </c>
      <c r="P41" s="3" t="n">
        <v>927</v>
      </c>
      <c r="AA41" s="6">
        <f>IF(Z41="","",M41/Z41)</f>
        <v/>
      </c>
      <c r="AB41" t="inlineStr">
        <is>
          <t>REFlex</t>
        </is>
      </c>
    </row>
    <row r="42">
      <c r="A42" t="n">
        <v>38</v>
      </c>
      <c r="B42" s="10" t="n">
        <v>47774</v>
      </c>
      <c r="C42" t="inlineStr">
        <is>
          <t>04:17 PM</t>
        </is>
      </c>
      <c r="D42" t="inlineStr">
        <is>
          <t>Arathi Basin</t>
        </is>
      </c>
      <c r="E42" t="inlineStr">
        <is>
          <t>Bases</t>
        </is>
      </c>
      <c r="F42" s="11" t="n">
        <v>0.009849537037037037</v>
      </c>
      <c r="G42" t="inlineStr">
        <is>
          <t>W</t>
        </is>
      </c>
      <c r="J42" t="n">
        <v>10</v>
      </c>
      <c r="K42" t="n">
        <v>0</v>
      </c>
      <c r="M42" s="5" t="n">
        <v>26.009227</v>
      </c>
      <c r="N42" s="5" t="n">
        <v>8.749967</v>
      </c>
      <c r="O42" s="5">
        <f>IF(OR(F42="",F42=0),"",M42/(F42*1440))</f>
        <v/>
      </c>
      <c r="P42" s="3" t="n">
        <v>1010</v>
      </c>
      <c r="AA42" s="6">
        <f>IF(Z42="","",M42/Z42)</f>
        <v/>
      </c>
      <c r="AB42" t="inlineStr">
        <is>
          <t>REFlex</t>
        </is>
      </c>
    </row>
    <row r="43">
      <c r="A43" t="n">
        <v>39</v>
      </c>
      <c r="B43" s="10" t="n">
        <v>47774</v>
      </c>
      <c r="C43" t="inlineStr">
        <is>
          <t>04:29 PM</t>
        </is>
      </c>
      <c r="D43" t="inlineStr">
        <is>
          <t>Silvershard Mines</t>
        </is>
      </c>
      <c r="E43" t="inlineStr">
        <is>
          <t>Carts</t>
        </is>
      </c>
      <c r="F43" s="11" t="n">
        <v>0.00425925925925926</v>
      </c>
      <c r="G43" t="inlineStr">
        <is>
          <t>L</t>
        </is>
      </c>
      <c r="J43" t="n">
        <v>0</v>
      </c>
      <c r="K43" t="n">
        <v>2</v>
      </c>
      <c r="M43" s="5" t="n">
        <v>9.788427</v>
      </c>
      <c r="N43" s="5" t="n">
        <v>7.462167</v>
      </c>
      <c r="O43" s="5">
        <f>IF(OR(F43="",F43=0),"",M43/(F43*1440))</f>
        <v/>
      </c>
      <c r="P43" s="3" t="n">
        <v>267</v>
      </c>
      <c r="AA43" s="6">
        <f>IF(Z43="","",M43/Z43)</f>
        <v/>
      </c>
      <c r="AB43" t="inlineStr">
        <is>
          <t>REFlex</t>
        </is>
      </c>
    </row>
    <row r="44">
      <c r="A44" t="n">
        <v>40</v>
      </c>
      <c r="B44" s="10" t="n">
        <v>47774</v>
      </c>
      <c r="C44" t="inlineStr">
        <is>
          <t>04:41 PM</t>
        </is>
      </c>
      <c r="D44" t="inlineStr">
        <is>
          <t>Temple of Kotmogu</t>
        </is>
      </c>
      <c r="E44" t="inlineStr">
        <is>
          <t>Orbs</t>
        </is>
      </c>
      <c r="F44" s="11" t="n">
        <v>0.003865740740740741</v>
      </c>
      <c r="G44" t="inlineStr">
        <is>
          <t>L</t>
        </is>
      </c>
      <c r="J44" t="n">
        <v>0</v>
      </c>
      <c r="K44" t="n">
        <v>10</v>
      </c>
      <c r="M44" s="5" t="n">
        <v>6.062027</v>
      </c>
      <c r="N44" s="5" t="n">
        <v>4.886567</v>
      </c>
      <c r="O44" s="5">
        <f>IF(OR(F44="",F44=0),"",M44/(F44*1440))</f>
        <v/>
      </c>
      <c r="P44" s="3" t="n">
        <v>294</v>
      </c>
      <c r="AA44" s="6">
        <f>IF(Z44="","",M44/Z44)</f>
        <v/>
      </c>
      <c r="AB44" t="inlineStr">
        <is>
          <t>REFlex</t>
        </is>
      </c>
    </row>
    <row r="45">
      <c r="A45" t="n">
        <v>41</v>
      </c>
      <c r="B45" s="10" t="n">
        <v>47774</v>
      </c>
      <c r="C45" t="inlineStr">
        <is>
          <t>05:00 PM</t>
        </is>
      </c>
      <c r="D45" t="inlineStr">
        <is>
          <t>Twin Peaks</t>
        </is>
      </c>
      <c r="E45" t="inlineStr">
        <is>
          <t>Flag</t>
        </is>
      </c>
      <c r="F45" s="11" t="n">
        <v>0.006516203703703704</v>
      </c>
      <c r="G45" t="inlineStr">
        <is>
          <t>W</t>
        </is>
      </c>
      <c r="J45" t="n">
        <v>8</v>
      </c>
      <c r="K45" t="n">
        <v>2</v>
      </c>
      <c r="M45" s="5" t="n">
        <v>14.062827</v>
      </c>
      <c r="N45" s="5" t="n">
        <v>7.297767</v>
      </c>
      <c r="O45" s="5">
        <f>IF(OR(F45="",F45=0),"",M45/(F45*1440))</f>
        <v/>
      </c>
      <c r="P45" s="3" t="n">
        <v>1124</v>
      </c>
      <c r="AA45" s="6">
        <f>IF(Z45="","",M45/Z45)</f>
        <v/>
      </c>
      <c r="AB45" t="inlineStr">
        <is>
          <t>REFlex</t>
        </is>
      </c>
    </row>
    <row r="46">
      <c r="A46" t="n">
        <v>42</v>
      </c>
      <c r="B46" s="10" t="n">
        <v>47774</v>
      </c>
      <c r="C46" t="inlineStr">
        <is>
          <t>05:16 PM</t>
        </is>
      </c>
      <c r="D46" t="inlineStr">
        <is>
          <t>Deephaul Ravine</t>
        </is>
      </c>
      <c r="E46" t="inlineStr">
        <is>
          <t>Carts</t>
        </is>
      </c>
      <c r="F46" s="11" t="n">
        <v>0.005439814814814815</v>
      </c>
      <c r="G46" t="inlineStr">
        <is>
          <t>L</t>
        </is>
      </c>
      <c r="J46" t="n">
        <v>4</v>
      </c>
      <c r="K46" t="n">
        <v>8</v>
      </c>
      <c r="M46" s="5" t="n">
        <v>21.132027</v>
      </c>
      <c r="N46" s="5" t="n">
        <v>10.722767</v>
      </c>
      <c r="O46" s="5">
        <f>IF(OR(F46="",F46=0),"",M46/(F46*1440))</f>
        <v/>
      </c>
      <c r="P46" s="3" t="n">
        <v>360</v>
      </c>
      <c r="AA46" s="6">
        <f>IF(Z46="","",M46/Z46)</f>
        <v/>
      </c>
      <c r="AB46" t="inlineStr">
        <is>
          <t>REFlex</t>
        </is>
      </c>
    </row>
    <row r="47">
      <c r="A47" t="n">
        <v>43</v>
      </c>
      <c r="B47" s="10" t="n">
        <v>47774</v>
      </c>
      <c r="C47" t="inlineStr">
        <is>
          <t>05:45 PM</t>
        </is>
      </c>
      <c r="D47" t="inlineStr">
        <is>
          <t>Deepwind Gorge</t>
        </is>
      </c>
      <c r="E47" t="inlineStr">
        <is>
          <t>Bases</t>
        </is>
      </c>
      <c r="F47" s="11" t="n">
        <v>0.0102662037037037</v>
      </c>
      <c r="G47" t="inlineStr">
        <is>
          <t>W</t>
        </is>
      </c>
      <c r="J47" t="n">
        <v>0</v>
      </c>
      <c r="K47" t="n">
        <v>10</v>
      </c>
      <c r="M47" s="5" t="n">
        <v>25.324227</v>
      </c>
      <c r="N47" s="5" t="n">
        <v>10.530967</v>
      </c>
      <c r="O47" s="5">
        <f>IF(OR(F47="",F47=0),"",M47/(F47*1440))</f>
        <v/>
      </c>
      <c r="P47" s="3" t="n">
        <v>836</v>
      </c>
      <c r="AA47" s="6">
        <f>IF(Z47="","",M47/Z47)</f>
        <v/>
      </c>
      <c r="AB47" t="inlineStr">
        <is>
          <t>REFlex</t>
        </is>
      </c>
    </row>
    <row r="48">
      <c r="A48" t="n">
        <v>44</v>
      </c>
      <c r="B48" s="10" t="n">
        <v>47774</v>
      </c>
      <c r="C48" t="inlineStr">
        <is>
          <t>06:10 PM</t>
        </is>
      </c>
      <c r="D48" t="inlineStr">
        <is>
          <t>The Battle for Gilneas</t>
        </is>
      </c>
      <c r="E48" t="inlineStr">
        <is>
          <t>Bases</t>
        </is>
      </c>
      <c r="F48" s="11" t="n">
        <v>0.01165509259259259</v>
      </c>
      <c r="G48" t="inlineStr">
        <is>
          <t>L</t>
        </is>
      </c>
      <c r="J48" t="n">
        <v>4</v>
      </c>
      <c r="K48" t="n">
        <v>1</v>
      </c>
      <c r="M48" s="5" t="n">
        <v>38.366627</v>
      </c>
      <c r="N48" s="5" t="n">
        <v>21.819767</v>
      </c>
      <c r="O48" s="5">
        <f>IF(OR(F48="",F48=0),"",M48/(F48*1440))</f>
        <v/>
      </c>
      <c r="P48" s="3" t="n">
        <v>707</v>
      </c>
      <c r="AA48" s="6">
        <f>IF(Z48="","",M48/Z48)</f>
        <v/>
      </c>
      <c r="AB48" t="inlineStr">
        <is>
          <t>REFlex</t>
        </is>
      </c>
    </row>
    <row r="49">
      <c r="A49" t="n">
        <v>45</v>
      </c>
      <c r="B49" s="10" t="n">
        <v>47774</v>
      </c>
      <c r="C49" t="inlineStr">
        <is>
          <t>07:13 PM</t>
        </is>
      </c>
      <c r="D49" t="inlineStr">
        <is>
          <t>Warsong Gulch</t>
        </is>
      </c>
      <c r="E49" t="inlineStr">
        <is>
          <t>Flag</t>
        </is>
      </c>
      <c r="F49" s="11" t="n">
        <v>0.005289351851851852</v>
      </c>
      <c r="G49" t="inlineStr">
        <is>
          <t>W</t>
        </is>
      </c>
      <c r="J49" t="n">
        <v>4</v>
      </c>
      <c r="K49" t="n">
        <v>3</v>
      </c>
      <c r="M49" s="5" t="n">
        <v>2.028747</v>
      </c>
      <c r="N49" s="5" t="n">
        <v>4.502967</v>
      </c>
      <c r="O49" s="5">
        <f>IF(OR(F49="",F49=0),"",M49/(F49*1440))</f>
        <v/>
      </c>
      <c r="P49" s="3" t="n">
        <v>976</v>
      </c>
      <c r="AA49" s="6">
        <f>IF(Z49="","",M49/Z49)</f>
        <v/>
      </c>
      <c r="AB49" t="inlineStr">
        <is>
          <t>REFlex</t>
        </is>
      </c>
    </row>
    <row r="50">
      <c r="A50" t="n">
        <v>46</v>
      </c>
      <c r="B50" s="10" t="n">
        <v>47774</v>
      </c>
      <c r="C50" t="inlineStr">
        <is>
          <t>07:28 PM</t>
        </is>
      </c>
      <c r="D50" t="inlineStr">
        <is>
          <t>Temple of Kotmogu</t>
        </is>
      </c>
      <c r="E50" t="inlineStr">
        <is>
          <t>Orbs</t>
        </is>
      </c>
      <c r="F50" s="11" t="n">
        <v>0.007858796296296296</v>
      </c>
      <c r="G50" t="inlineStr">
        <is>
          <t>W</t>
        </is>
      </c>
      <c r="H50" t="n">
        <v>1517</v>
      </c>
      <c r="I50" t="n">
        <v>1189</v>
      </c>
      <c r="J50" t="n">
        <v>4</v>
      </c>
      <c r="K50" t="n">
        <v>7</v>
      </c>
      <c r="L50" t="n">
        <v>0</v>
      </c>
      <c r="M50" s="5" t="n">
        <v>19.871627</v>
      </c>
      <c r="N50" s="5" t="n">
        <v>14.257367</v>
      </c>
      <c r="O50" s="5">
        <f>IF(OR(F50="",F50=0),"",M50/(F50*1440))</f>
        <v/>
      </c>
      <c r="P50" s="3" t="n">
        <v>822</v>
      </c>
      <c r="Q50" t="n">
        <v>35</v>
      </c>
      <c r="R50" t="inlineStr">
        <is>
          <t>Orb carrier</t>
        </is>
      </c>
      <c r="X50" t="n">
        <v>21</v>
      </c>
      <c r="Y50" t="n">
        <v>267</v>
      </c>
      <c r="Z50" s="5" t="n">
        <v>57</v>
      </c>
      <c r="AA50" s="6">
        <f>IF(Z50="","",M50/Z50)</f>
        <v/>
      </c>
      <c r="AB50" t="inlineStr">
        <is>
          <t>REFlex + scoreboard</t>
        </is>
      </c>
      <c r="AC50" t="inlineStr">
        <is>
          <t>Synthetic example</t>
        </is>
      </c>
      <c r="AI50" t="inlineStr">
        <is>
          <t>No</t>
        </is>
      </c>
      <c r="AJ50" t="inlineStr">
        <is>
          <t>0 of 2 (visible roster)</t>
        </is>
      </c>
    </row>
    <row r="51">
      <c r="A51" t="n">
        <v>47</v>
      </c>
      <c r="B51" s="10" t="n">
        <v>47775</v>
      </c>
      <c r="C51" t="inlineStr">
        <is>
          <t>06:25 PM</t>
        </is>
      </c>
      <c r="D51" t="inlineStr">
        <is>
          <t>The Battle for Gilneas</t>
        </is>
      </c>
      <c r="E51" t="inlineStr">
        <is>
          <t>Bases</t>
        </is>
      </c>
      <c r="F51" s="11" t="n">
        <v>0.006053240740740741</v>
      </c>
      <c r="G51" t="inlineStr">
        <is>
          <t>W</t>
        </is>
      </c>
      <c r="J51" t="n">
        <v>0</v>
      </c>
      <c r="K51" t="n">
        <v>7</v>
      </c>
      <c r="M51" s="5" t="n">
        <v>14.473827</v>
      </c>
      <c r="N51" s="5" t="n">
        <v>4.886567</v>
      </c>
      <c r="O51" s="5">
        <f>IF(OR(F51="",F51=0),"",M51/(F51*1440))</f>
        <v/>
      </c>
      <c r="P51" s="3" t="n">
        <v>1236</v>
      </c>
      <c r="AA51" s="6">
        <f>IF(Z51="","",M51/Z51)</f>
        <v/>
      </c>
      <c r="AB51" t="inlineStr">
        <is>
          <t>REFlex</t>
        </is>
      </c>
    </row>
    <row r="52">
      <c r="A52" t="n">
        <v>48</v>
      </c>
      <c r="B52" s="10" t="n">
        <v>47775</v>
      </c>
      <c r="D52" t="inlineStr">
        <is>
          <t>Temple of Kotmogu</t>
        </is>
      </c>
      <c r="E52" t="inlineStr">
        <is>
          <t>Orbs</t>
        </is>
      </c>
      <c r="G52" t="inlineStr">
        <is>
          <t>W</t>
        </is>
      </c>
      <c r="H52" t="n">
        <v>1517</v>
      </c>
      <c r="I52" t="n">
        <v>345</v>
      </c>
      <c r="J52" t="n">
        <v>7</v>
      </c>
      <c r="K52" t="n">
        <v>2</v>
      </c>
      <c r="L52" t="n">
        <v>4</v>
      </c>
      <c r="M52" s="5" t="n">
        <v>32.530427</v>
      </c>
      <c r="N52" s="5" t="n">
        <v>10.585767</v>
      </c>
      <c r="O52" s="5">
        <f>IF(OR(F52="",F52=0),"",M52/(F52*1440))</f>
        <v/>
      </c>
      <c r="P52" s="3" t="n">
        <v>826</v>
      </c>
      <c r="Q52" t="n">
        <v>35</v>
      </c>
      <c r="R52" t="inlineStr">
        <is>
          <t>Orb carrier + team fights</t>
        </is>
      </c>
      <c r="X52" t="n">
        <v>19</v>
      </c>
      <c r="Y52" t="n">
        <v>127</v>
      </c>
      <c r="Z52" s="5" t="n">
        <v>36</v>
      </c>
      <c r="AA52" s="6">
        <f>IF(Z52="","",M52/Z52)</f>
        <v/>
      </c>
      <c r="AB52" t="inlineStr">
        <is>
          <t>Scoreboard</t>
        </is>
      </c>
      <c r="AC52" t="inlineStr">
        <is>
          <t>Synthetic example</t>
        </is>
      </c>
      <c r="AF52" t="inlineStr">
        <is>
          <t>0+ vs 1+ (visible only)</t>
        </is>
      </c>
      <c r="AI52">
        <f>IF(COUNTIFS('PG Roster'!$A$5:$A$2000,$A52,'PG Roster'!$O$5:$O$2000,"Your premade")=0,"Solo",IF(AND(1+COUNTIFS('PG Roster'!$A$5:$A$2000,$A52,'PG Roster'!$O$5:$O$2000,"Your premade")&gt;=3,COUNTIFS('PG Roster'!$A$5:$A$2000,$A52,'PG Roster'!$O$5:$O$2000,"Your premade",'PG Roster'!$P$5:$P$2000,"Established")&gt;=2),"Yes","No"))</f>
        <v/>
      </c>
      <c r="AJ52">
        <f>COUNTIFS('PG Roster'!$A$5:$A$2000,$A52,'PG Roster'!$O$5:$O$2000,"Your premade",'PG Roster'!$P$5:$P$2000,"Established")&amp;" of "&amp;COUNTIFS('PG Roster'!$A$5:$A$2000,$A52,'PG Roster'!$O$5:$O$2000,"Your premade")</f>
        <v/>
      </c>
    </row>
    <row r="53">
      <c r="A53" t="n">
        <v>49</v>
      </c>
      <c r="B53" s="10" t="n">
        <v>47775</v>
      </c>
      <c r="D53" t="inlineStr">
        <is>
          <t>Temple of Kotmogu</t>
        </is>
      </c>
      <c r="E53" t="inlineStr">
        <is>
          <t>Orbs</t>
        </is>
      </c>
      <c r="G53" t="inlineStr">
        <is>
          <t>W</t>
        </is>
      </c>
      <c r="H53" t="n">
        <v>1517</v>
      </c>
      <c r="I53" t="n">
        <v>897</v>
      </c>
      <c r="J53" t="n">
        <v>7</v>
      </c>
      <c r="K53" t="n">
        <v>1</v>
      </c>
      <c r="L53" t="n">
        <v>10</v>
      </c>
      <c r="M53" s="5" t="n">
        <v>38.092627</v>
      </c>
      <c r="N53" s="5" t="n">
        <v>13.353167</v>
      </c>
      <c r="O53" s="5">
        <f>IF(OR(F53="",F53=0),"",M53/(F53*1440))</f>
        <v/>
      </c>
      <c r="P53" s="3" t="n">
        <v>820</v>
      </c>
      <c r="Q53" t="n">
        <v>35</v>
      </c>
      <c r="R53" t="inlineStr">
        <is>
          <t>Orb carrier</t>
        </is>
      </c>
      <c r="X53" t="n">
        <v>20</v>
      </c>
      <c r="Y53" t="n">
        <v>319</v>
      </c>
      <c r="Z53" s="5" t="n">
        <v>68</v>
      </c>
      <c r="AA53" s="6">
        <f>IF(Z53="","",M53/Z53)</f>
        <v/>
      </c>
      <c r="AB53" t="inlineStr">
        <is>
          <t>Scoreboard</t>
        </is>
      </c>
      <c r="AC53" t="inlineStr">
        <is>
          <t>Synthetic example</t>
        </is>
      </c>
      <c r="AF53" t="inlineStr">
        <is>
          <t>0+ vs 1+ (visible only)</t>
        </is>
      </c>
      <c r="AI53">
        <f>IF(COUNTIFS('PG Roster'!$A$5:$A$2000,$A53,'PG Roster'!$O$5:$O$2000,"Your premade")=0,"Solo",IF(AND(1+COUNTIFS('PG Roster'!$A$5:$A$2000,$A53,'PG Roster'!$O$5:$O$2000,"Your premade")&gt;=3,COUNTIFS('PG Roster'!$A$5:$A$2000,$A53,'PG Roster'!$O$5:$O$2000,"Your premade",'PG Roster'!$P$5:$P$2000,"Established")&gt;=2),"Yes","No"))</f>
        <v/>
      </c>
      <c r="AJ53">
        <f>COUNTIFS('PG Roster'!$A$5:$A$2000,$A53,'PG Roster'!$O$5:$O$2000,"Your premade",'PG Roster'!$P$5:$P$2000,"Established")&amp;" of "&amp;COUNTIFS('PG Roster'!$A$5:$A$2000,$A53,'PG Roster'!$O$5:$O$2000,"Your premade")</f>
        <v/>
      </c>
    </row>
    <row r="54">
      <c r="A54" t="n">
        <v>50</v>
      </c>
      <c r="B54" s="10" t="n">
        <v>47775</v>
      </c>
      <c r="D54" t="inlineStr">
        <is>
          <t>Eye of the Storm</t>
        </is>
      </c>
      <c r="E54" t="inlineStr">
        <is>
          <t>Flag + Bases</t>
        </is>
      </c>
      <c r="G54" t="inlineStr">
        <is>
          <t>L</t>
        </is>
      </c>
      <c r="H54" t="n">
        <v>834</v>
      </c>
      <c r="I54" t="n">
        <v>1517</v>
      </c>
      <c r="J54" t="n">
        <v>10</v>
      </c>
      <c r="K54" t="n">
        <v>4</v>
      </c>
      <c r="L54" t="n">
        <v>7</v>
      </c>
      <c r="M54" s="5" t="n">
        <v>23.296627</v>
      </c>
      <c r="N54" s="5" t="n">
        <v>10.695367</v>
      </c>
      <c r="O54" s="5">
        <f>IF(OR(F54="",F54=0),"",M54/(F54*1440))</f>
        <v/>
      </c>
      <c r="P54" s="3" t="n">
        <v>480</v>
      </c>
      <c r="Q54" t="n">
        <v>0</v>
      </c>
      <c r="R54" t="inlineStr">
        <is>
          <t>Mixed</t>
        </is>
      </c>
      <c r="U54" t="n">
        <v>18</v>
      </c>
      <c r="Z54" s="5" t="n">
        <v>51</v>
      </c>
      <c r="AA54" s="6">
        <f>IF(Z54="","",M54/Z54)</f>
        <v/>
      </c>
      <c r="AB54" t="inlineStr">
        <is>
          <t>Scoreboard (full roster)</t>
        </is>
      </c>
      <c r="AC54" t="inlineStr">
        <is>
          <t>Synthetic example</t>
        </is>
      </c>
      <c r="AD54">
        <f>SUMIFS('PG Roster'!$G$5:$G$2000,'PG Roster'!$A$5:$A$2000,$A54,'PG Roster'!$D$5:$D$2000,"Horde")</f>
        <v/>
      </c>
      <c r="AE54">
        <f>SUMIFS('PG Roster'!$G$5:$G$2000,'PG Roster'!$A$5:$A$2000,$A54,'PG Roster'!$D$5:$D$2000,"Alliance")</f>
        <v/>
      </c>
      <c r="AF54" t="inlineStr">
        <is>
          <t>3 vs 3</t>
        </is>
      </c>
      <c r="AG54" s="4">
        <f>SUMIFS('PG Roster'!$I$5:$I$2000,'PG Roster'!$A$5:$A$2000,$A54,'PG Roster'!$D$5:$D$2000,"Horde")</f>
        <v/>
      </c>
      <c r="AH54" s="4">
        <f>SUMIFS('PG Roster'!$I$5:$I$2000,'PG Roster'!$A$5:$A$2000,$A54,'PG Roster'!$D$5:$D$2000,"Alliance")</f>
        <v/>
      </c>
      <c r="AI54">
        <f>IF(COUNTIFS('PG Roster'!$A$5:$A$2000,$A54,'PG Roster'!$O$5:$O$2000,"Your premade")=0,"Solo",IF(AND(1+COUNTIFS('PG Roster'!$A$5:$A$2000,$A54,'PG Roster'!$O$5:$O$2000,"Your premade")&gt;=3,COUNTIFS('PG Roster'!$A$5:$A$2000,$A54,'PG Roster'!$O$5:$O$2000,"Your premade",'PG Roster'!$P$5:$P$2000,"Established")&gt;=2),"Yes","No"))</f>
        <v/>
      </c>
      <c r="AJ54">
        <f>COUNTIFS('PG Roster'!$A$5:$A$2000,$A54,'PG Roster'!$O$5:$O$2000,"Your premade",'PG Roster'!$P$5:$P$2000,"Established")&amp;" of "&amp;COUNTIFS('PG Roster'!$A$5:$A$2000,$A54,'PG Roster'!$O$5:$O$2000,"Your premade")</f>
        <v/>
      </c>
    </row>
    <row r="55">
      <c r="A55" t="n">
        <v>51</v>
      </c>
      <c r="B55" s="10" t="n">
        <v>47777</v>
      </c>
      <c r="D55" t="inlineStr">
        <is>
          <t>Eye of the Storm</t>
        </is>
      </c>
      <c r="E55" t="inlineStr">
        <is>
          <t>Flag + Bases</t>
        </is>
      </c>
      <c r="G55" t="inlineStr">
        <is>
          <t>W</t>
        </is>
      </c>
      <c r="H55" t="n">
        <v>1517</v>
      </c>
      <c r="I55" t="n">
        <v>1140</v>
      </c>
      <c r="J55" t="n">
        <v>10</v>
      </c>
      <c r="K55" t="n">
        <v>10</v>
      </c>
      <c r="L55" t="n">
        <v>10</v>
      </c>
      <c r="M55" s="5" t="n">
        <v>45.901627</v>
      </c>
      <c r="N55" s="5" t="n">
        <v>13.627167</v>
      </c>
      <c r="O55" s="5">
        <f>IF(OR(F55="",F55=0),"",M55/(F55*1440))</f>
        <v/>
      </c>
      <c r="P55" s="3" t="n">
        <v>931</v>
      </c>
      <c r="Q55" t="n">
        <v>137</v>
      </c>
      <c r="R55" t="inlineStr">
        <is>
          <t>Flag carrier + team fights</t>
        </is>
      </c>
      <c r="U55" t="n">
        <v>19</v>
      </c>
      <c r="Z55" s="5" t="n">
        <v>59</v>
      </c>
      <c r="AA55" s="6">
        <f>IF(Z55="","",M55/Z55)</f>
        <v/>
      </c>
      <c r="AB55" t="inlineStr">
        <is>
          <t>Scoreboard (full roster)</t>
        </is>
      </c>
      <c r="AC55" t="inlineStr">
        <is>
          <t>Synthetic example</t>
        </is>
      </c>
      <c r="AD55">
        <f>SUMIFS('PG Roster'!$G$5:$G$2000,'PG Roster'!$A$5:$A$2000,$A55,'PG Roster'!$D$5:$D$2000,"Horde")</f>
        <v/>
      </c>
      <c r="AE55">
        <f>SUMIFS('PG Roster'!$G$5:$G$2000,'PG Roster'!$A$5:$A$2000,$A55,'PG Roster'!$D$5:$D$2000,"Alliance")</f>
        <v/>
      </c>
      <c r="AF55" t="inlineStr">
        <is>
          <t>3 vs 3</t>
        </is>
      </c>
      <c r="AG55" s="4">
        <f>SUMIFS('PG Roster'!$I$5:$I$2000,'PG Roster'!$A$5:$A$2000,$A55,'PG Roster'!$D$5:$D$2000,"Horde")</f>
        <v/>
      </c>
      <c r="AH55" s="4">
        <f>SUMIFS('PG Roster'!$I$5:$I$2000,'PG Roster'!$A$5:$A$2000,$A55,'PG Roster'!$D$5:$D$2000,"Alliance")</f>
        <v/>
      </c>
      <c r="AI55">
        <f>IF(COUNTIFS('PG Roster'!$A$5:$A$2000,$A55,'PG Roster'!$O$5:$O$2000,"Your premade")=0,"Solo",IF(AND(1+COUNTIFS('PG Roster'!$A$5:$A$2000,$A55,'PG Roster'!$O$5:$O$2000,"Your premade")&gt;=3,COUNTIFS('PG Roster'!$A$5:$A$2000,$A55,'PG Roster'!$O$5:$O$2000,"Your premade",'PG Roster'!$P$5:$P$2000,"Established")&gt;=2),"Yes","No"))</f>
        <v/>
      </c>
      <c r="AJ55">
        <f>COUNTIFS('PG Roster'!$A$5:$A$2000,$A55,'PG Roster'!$O$5:$O$2000,"Your premade",'PG Roster'!$P$5:$P$2000,"Established")&amp;" of "&amp;COUNTIFS('PG Roster'!$A$5:$A$2000,$A55,'PG Roster'!$O$5:$O$2000,"Your premade")</f>
        <v/>
      </c>
    </row>
    <row r="56">
      <c r="A56" t="n">
        <v>52</v>
      </c>
      <c r="B56" s="10" t="n">
        <v>47777</v>
      </c>
      <c r="D56" t="inlineStr">
        <is>
          <t>Deepwind Gorge (Legacy)</t>
        </is>
      </c>
      <c r="E56" t="inlineStr">
        <is>
          <t>Carts</t>
        </is>
      </c>
      <c r="G56" t="inlineStr">
        <is>
          <t>L</t>
        </is>
      </c>
      <c r="H56" t="n">
        <v>672</v>
      </c>
      <c r="I56" t="n">
        <v>1517</v>
      </c>
      <c r="J56" t="n">
        <v>0</v>
      </c>
      <c r="K56" t="n">
        <v>6</v>
      </c>
      <c r="L56" t="n">
        <v>10</v>
      </c>
      <c r="M56" s="5" t="n">
        <v>13.268227</v>
      </c>
      <c r="N56" s="5" t="n">
        <v>6.229167</v>
      </c>
      <c r="O56" s="5">
        <f>IF(OR(F56="",F56=0),"",M56/(F56*1440))</f>
        <v/>
      </c>
      <c r="P56" s="3" t="n">
        <v>317</v>
      </c>
      <c r="Q56" t="n">
        <v>0</v>
      </c>
      <c r="R56" t="inlineStr">
        <is>
          <t>Cart carrier</t>
        </is>
      </c>
      <c r="W56" t="n">
        <v>20</v>
      </c>
      <c r="Z56" s="5" t="n">
        <v>30</v>
      </c>
      <c r="AA56" s="6">
        <f>IF(Z56="","",M56/Z56)</f>
        <v/>
      </c>
      <c r="AB56" t="inlineStr">
        <is>
          <t>Scoreboard (full roster)</t>
        </is>
      </c>
      <c r="AC56" t="inlineStr">
        <is>
          <t>Synthetic example</t>
        </is>
      </c>
      <c r="AD56">
        <f>SUMIFS('PG Roster'!$G$5:$G$2000,'PG Roster'!$A$5:$A$2000,$A56,'PG Roster'!$D$5:$D$2000,"Horde")</f>
        <v/>
      </c>
      <c r="AE56">
        <f>SUMIFS('PG Roster'!$G$5:$G$2000,'PG Roster'!$A$5:$A$2000,$A56,'PG Roster'!$D$5:$D$2000,"Alliance")</f>
        <v/>
      </c>
      <c r="AF56" t="inlineStr">
        <is>
          <t>2 vs 3</t>
        </is>
      </c>
      <c r="AG56" s="4">
        <f>SUMIFS('PG Roster'!$I$5:$I$2000,'PG Roster'!$A$5:$A$2000,$A56,'PG Roster'!$D$5:$D$2000,"Horde")</f>
        <v/>
      </c>
      <c r="AH56" s="4">
        <f>SUMIFS('PG Roster'!$I$5:$I$2000,'PG Roster'!$A$5:$A$2000,$A56,'PG Roster'!$D$5:$D$2000,"Alliance")</f>
        <v/>
      </c>
      <c r="AI56">
        <f>IF(COUNTIFS('PG Roster'!$A$5:$A$2000,$A56,'PG Roster'!$O$5:$O$2000,"Your premade")=0,"Solo",IF(AND(1+COUNTIFS('PG Roster'!$A$5:$A$2000,$A56,'PG Roster'!$O$5:$O$2000,"Your premade")&gt;=3,COUNTIFS('PG Roster'!$A$5:$A$2000,$A56,'PG Roster'!$O$5:$O$2000,"Your premade",'PG Roster'!$P$5:$P$2000,"Established")&gt;=2),"Yes","No"))</f>
        <v/>
      </c>
      <c r="AJ56">
        <f>COUNTIFS('PG Roster'!$A$5:$A$2000,$A56,'PG Roster'!$O$5:$O$2000,"Your premade",'PG Roster'!$P$5:$P$2000,"Established")&amp;" of "&amp;COUNTIFS('PG Roster'!$A$5:$A$2000,$A56,'PG Roster'!$O$5:$O$2000,"Your premade")</f>
        <v/>
      </c>
    </row>
    <row r="57">
      <c r="A57" t="n">
        <v>53</v>
      </c>
      <c r="B57" s="10" t="n">
        <v>47777</v>
      </c>
      <c r="D57" t="inlineStr">
        <is>
          <t>Deepwind Gorge (Legacy)</t>
        </is>
      </c>
      <c r="E57" t="inlineStr">
        <is>
          <t>Carts</t>
        </is>
      </c>
      <c r="G57" t="inlineStr">
        <is>
          <t>W</t>
        </is>
      </c>
      <c r="H57" t="n">
        <v>577</v>
      </c>
      <c r="I57" t="n">
        <v>367</v>
      </c>
      <c r="J57" t="n">
        <v>0</v>
      </c>
      <c r="K57" t="n">
        <v>7</v>
      </c>
      <c r="L57" t="n">
        <v>10</v>
      </c>
      <c r="M57" s="5" t="n">
        <v>39.681827</v>
      </c>
      <c r="N57" s="5" t="n">
        <v>12.695567</v>
      </c>
      <c r="O57" s="5">
        <f>IF(OR(F57="",F57=0),"",M57/(F57*1440))</f>
        <v/>
      </c>
      <c r="P57" s="3" t="n">
        <v>741</v>
      </c>
      <c r="Q57" t="n">
        <v>89</v>
      </c>
      <c r="R57" t="inlineStr">
        <is>
          <t>Team fights</t>
        </is>
      </c>
      <c r="W57" t="n">
        <v>0</v>
      </c>
      <c r="Z57" s="5" t="n">
        <v>50</v>
      </c>
      <c r="AA57" s="6">
        <f>IF(Z57="","",M57/Z57)</f>
        <v/>
      </c>
      <c r="AB57" t="inlineStr">
        <is>
          <t>Scoreboard (full roster)</t>
        </is>
      </c>
      <c r="AC57" t="inlineStr">
        <is>
          <t>Synthetic example</t>
        </is>
      </c>
      <c r="AD57">
        <f>SUMIFS('PG Roster'!$G$5:$G$2000,'PG Roster'!$A$5:$A$2000,$A57,'PG Roster'!$D$5:$D$2000,"Horde")</f>
        <v/>
      </c>
      <c r="AE57">
        <f>SUMIFS('PG Roster'!$G$5:$G$2000,'PG Roster'!$A$5:$A$2000,$A57,'PG Roster'!$D$5:$D$2000,"Alliance")</f>
        <v/>
      </c>
      <c r="AF57" t="inlineStr">
        <is>
          <t>3 vs 2</t>
        </is>
      </c>
      <c r="AG57" s="4">
        <f>SUMIFS('PG Roster'!$I$5:$I$2000,'PG Roster'!$A$5:$A$2000,$A57,'PG Roster'!$D$5:$D$2000,"Horde")</f>
        <v/>
      </c>
      <c r="AH57" s="4">
        <f>SUMIFS('PG Roster'!$I$5:$I$2000,'PG Roster'!$A$5:$A$2000,$A57,'PG Roster'!$D$5:$D$2000,"Alliance")</f>
        <v/>
      </c>
      <c r="AI57">
        <f>IF(COUNTIFS('PG Roster'!$A$5:$A$2000,$A57,'PG Roster'!$O$5:$O$2000,"Your premade")=0,"Solo",IF(AND(1+COUNTIFS('PG Roster'!$A$5:$A$2000,$A57,'PG Roster'!$O$5:$O$2000,"Your premade")&gt;=3,COUNTIFS('PG Roster'!$A$5:$A$2000,$A57,'PG Roster'!$O$5:$O$2000,"Your premade",'PG Roster'!$P$5:$P$2000,"Established")&gt;=2),"Yes","No"))</f>
        <v/>
      </c>
      <c r="AJ57">
        <f>COUNTIFS('PG Roster'!$A$5:$A$2000,$A57,'PG Roster'!$O$5:$O$2000,"Your premade",'PG Roster'!$P$5:$P$2000,"Established")&amp;" of "&amp;COUNTIFS('PG Roster'!$A$5:$A$2000,$A57,'PG Roster'!$O$5:$O$2000,"Your premade")</f>
        <v/>
      </c>
    </row>
    <row r="58">
      <c r="A58" t="n">
        <v>54</v>
      </c>
      <c r="B58" s="10" t="n">
        <v>47777</v>
      </c>
      <c r="C58" t="inlineStr">
        <is>
          <t>06:30 PM</t>
        </is>
      </c>
      <c r="D58" t="inlineStr">
        <is>
          <t>The Battle for Gilneas</t>
        </is>
      </c>
      <c r="E58" t="inlineStr">
        <is>
          <t>Bases</t>
        </is>
      </c>
      <c r="F58" s="11" t="n">
        <v>0.004212962962962963</v>
      </c>
      <c r="G58" t="inlineStr">
        <is>
          <t>L</t>
        </is>
      </c>
      <c r="H58" t="n">
        <v>68</v>
      </c>
      <c r="I58" t="n">
        <v>1517</v>
      </c>
      <c r="J58" t="n">
        <v>7</v>
      </c>
      <c r="K58" t="n">
        <v>3</v>
      </c>
      <c r="L58" t="n">
        <v>7</v>
      </c>
      <c r="M58" s="5" t="n">
        <v>17.076827</v>
      </c>
      <c r="N58" s="5" t="n">
        <v>11.955767</v>
      </c>
      <c r="O58" s="5">
        <f>IF(OR(F58="",F58=0),"",M58/(F58*1440))</f>
        <v/>
      </c>
      <c r="P58" s="3" t="n">
        <v>375</v>
      </c>
      <c r="Q58" t="n">
        <v>0</v>
      </c>
      <c r="R58" t="inlineStr">
        <is>
          <t>Base assault</t>
        </is>
      </c>
      <c r="S58" t="n">
        <v>18</v>
      </c>
      <c r="T58" t="n">
        <v>0</v>
      </c>
      <c r="Z58" s="5" t="n">
        <v>29</v>
      </c>
      <c r="AA58" s="6">
        <f>IF(Z58="","",M58/Z58)</f>
        <v/>
      </c>
      <c r="AB58" t="inlineStr">
        <is>
          <t>Scoreboard (full roster) + PvP Ledger</t>
        </is>
      </c>
      <c r="AC58" t="inlineStr">
        <is>
          <t>Synthetic example</t>
        </is>
      </c>
      <c r="AD58">
        <f>SUMIFS('PG Roster'!$G$5:$G$2000,'PG Roster'!$A$5:$A$2000,$A58,'PG Roster'!$D$5:$D$2000,"Horde")</f>
        <v/>
      </c>
      <c r="AE58">
        <f>SUMIFS('PG Roster'!$G$5:$G$2000,'PG Roster'!$A$5:$A$2000,$A58,'PG Roster'!$D$5:$D$2000,"Alliance")</f>
        <v/>
      </c>
      <c r="AF58" t="inlineStr">
        <is>
          <t>2 vs 2</t>
        </is>
      </c>
      <c r="AG58" s="4">
        <f>SUMIFS('PG Roster'!$I$5:$I$2000,'PG Roster'!$A$5:$A$2000,$A58,'PG Roster'!$D$5:$D$2000,"Horde")</f>
        <v/>
      </c>
      <c r="AH58" s="4">
        <f>SUMIFS('PG Roster'!$I$5:$I$2000,'PG Roster'!$A$5:$A$2000,$A58,'PG Roster'!$D$5:$D$2000,"Alliance")</f>
        <v/>
      </c>
      <c r="AI58">
        <f>IF(COUNTIFS('PG Roster'!$A$5:$A$2000,$A58,'PG Roster'!$O$5:$O$2000,"Your premade")=0,"Solo",IF(AND(1+COUNTIFS('PG Roster'!$A$5:$A$2000,$A58,'PG Roster'!$O$5:$O$2000,"Your premade")&gt;=3,COUNTIFS('PG Roster'!$A$5:$A$2000,$A58,'PG Roster'!$O$5:$O$2000,"Your premade",'PG Roster'!$P$5:$P$2000,"Established")&gt;=2),"Yes","No"))</f>
        <v/>
      </c>
      <c r="AJ58">
        <f>COUNTIFS('PG Roster'!$A$5:$A$2000,$A58,'PG Roster'!$O$5:$O$2000,"Your premade",'PG Roster'!$P$5:$P$2000,"Established")&amp;" of "&amp;COUNTIFS('PG Roster'!$A$5:$A$2000,$A58,'PG Roster'!$O$5:$O$2000,"Your premade")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Asterknight — Match Rosters</t>
        </is>
      </c>
    </row>
    <row r="2">
      <c r="A2" t="inlineStr">
        <is>
          <t>One row per player per match. Game # links to the Matches tab. Use this to spot recurring enemy players and premades.</t>
        </is>
      </c>
    </row>
    <row r="3"/>
    <row r="4">
      <c r="A4" t="inlineStr">
        <is>
          <t>Game #</t>
        </is>
      </c>
      <c r="B4" t="inlineStr">
        <is>
          <t>Player</t>
        </is>
      </c>
      <c r="C4" t="inlineStr">
        <is>
          <t>Realm</t>
        </is>
      </c>
      <c r="D4" t="inlineStr">
        <is>
          <t>Faction</t>
        </is>
      </c>
      <c r="E4" t="inlineStr">
        <is>
          <t>KB</t>
        </is>
      </c>
      <c r="F4" t="inlineStr">
        <is>
          <t>HK</t>
        </is>
      </c>
      <c r="G4" t="inlineStr">
        <is>
          <t>Deaths</t>
        </is>
      </c>
      <c r="H4" t="inlineStr">
        <is>
          <t>Damage (M)</t>
        </is>
      </c>
      <c r="I4" t="inlineStr">
        <is>
          <t>Healing (M)</t>
        </is>
      </c>
      <c r="J4" t="inlineStr">
        <is>
          <t>Orb possessions</t>
        </is>
      </c>
      <c r="K4" t="inlineStr">
        <is>
          <t>Victory points</t>
        </is>
      </c>
      <c r="L4" t="inlineStr">
        <is>
          <t>Notes</t>
        </is>
      </c>
      <c r="M4" t="inlineStr">
        <is>
          <t>Times seen</t>
        </is>
      </c>
      <c r="N4" t="inlineStr">
        <is>
          <t>Person</t>
        </is>
      </c>
      <c r="O4" t="inlineStr">
        <is>
          <t>Group</t>
        </is>
      </c>
      <c r="P4" t="inlineStr">
        <is>
          <t>Status</t>
        </is>
      </c>
    </row>
    <row r="5">
      <c r="A5" t="n">
        <v>48</v>
      </c>
      <c r="B5" t="inlineStr">
        <is>
          <t>Player0685</t>
        </is>
      </c>
      <c r="C5" t="inlineStr">
        <is>
          <t>ExampleWorld126</t>
        </is>
      </c>
      <c r="D5" t="inlineStr">
        <is>
          <t>Horde</t>
        </is>
      </c>
      <c r="E5" t="n">
        <v>2</v>
      </c>
      <c r="F5" t="n">
        <v>5</v>
      </c>
      <c r="G5" t="n">
        <v>4</v>
      </c>
      <c r="H5" s="5" t="n">
        <v>52.148827</v>
      </c>
      <c r="I5" s="5" t="n">
        <v>5.023567</v>
      </c>
      <c r="J5" t="n">
        <v>18</v>
      </c>
      <c r="K5" t="n">
        <v>183</v>
      </c>
      <c r="M5">
        <f>COUNTIFS($B$5:$B$2000,B5,$C$5:$C$2000,C5)+COUNTIFS('GM Roster'!$B$5:$B$2000,B5,'GM Roster'!$C$5:$C$2000,C5)</f>
        <v/>
      </c>
      <c r="N5">
        <f>IFERROR(INDEX('Known Players'!$C$5:$C$500,MATCH(B5&amp;"|"&amp;C5,'Known Players'!$F$5:$F$500,0)),"")</f>
        <v/>
      </c>
      <c r="O5">
        <f>IFERROR(INDEX('Known Players'!$D$5:$D$500,MATCH(B5&amp;"|"&amp;C5,'Known Players'!$F$5:$F$500,0)),"")</f>
        <v/>
      </c>
      <c r="P5">
        <f>IFERROR(INDEX('Known Players'!$G$5:$G$500,MATCH(B5&amp;"|"&amp;C5,'Known Players'!$F$5:$F$500,0)),"")</f>
        <v/>
      </c>
    </row>
    <row r="6">
      <c r="A6" t="n">
        <v>48</v>
      </c>
      <c r="B6" t="inlineStr">
        <is>
          <t>Snowflare</t>
        </is>
      </c>
      <c r="C6" t="inlineStr">
        <is>
          <t>SandboxRealm</t>
        </is>
      </c>
      <c r="D6" t="inlineStr">
        <is>
          <t>Horde</t>
        </is>
      </c>
      <c r="E6" t="n">
        <v>5</v>
      </c>
      <c r="F6" t="n">
        <v>8</v>
      </c>
      <c r="G6" t="n">
        <v>0</v>
      </c>
      <c r="H6" s="5" t="n">
        <v>49.408827</v>
      </c>
      <c r="I6" s="5" t="n">
        <v>4.749567</v>
      </c>
      <c r="J6" t="n">
        <v>0</v>
      </c>
      <c r="K6" t="n">
        <v>67</v>
      </c>
      <c r="M6">
        <f>COUNTIFS($B$5:$B$2000,B6,$C$5:$C$2000,C6)+COUNTIFS('GM Roster'!$B$5:$B$2000,B6,'GM Roster'!$C$5:$C$2000,C6)</f>
        <v/>
      </c>
      <c r="N6">
        <f>IFERROR(INDEX('Known Players'!$C$5:$C$500,MATCH(B6&amp;"|"&amp;C6,'Known Players'!$F$5:$F$500,0)),"")</f>
        <v/>
      </c>
      <c r="O6">
        <f>IFERROR(INDEX('Known Players'!$D$5:$D$500,MATCH(B6&amp;"|"&amp;C6,'Known Players'!$F$5:$F$500,0)),"")</f>
        <v/>
      </c>
      <c r="P6">
        <f>IFERROR(INDEX('Known Players'!$G$5:$G$500,MATCH(B6&amp;"|"&amp;C6,'Known Players'!$F$5:$F$500,0)),"")</f>
        <v/>
      </c>
    </row>
    <row r="7">
      <c r="A7" t="n">
        <v>48</v>
      </c>
      <c r="B7" t="inlineStr">
        <is>
          <t>Player0942</t>
        </is>
      </c>
      <c r="C7" t="inlineStr">
        <is>
          <t>ExampleWorld164</t>
        </is>
      </c>
      <c r="D7" t="inlineStr">
        <is>
          <t>Alliance</t>
        </is>
      </c>
      <c r="E7" t="n">
        <v>0</v>
      </c>
      <c r="F7" t="n">
        <v>0</v>
      </c>
      <c r="G7" t="n">
        <v>7</v>
      </c>
      <c r="H7" s="5" t="n">
        <v>46.668827</v>
      </c>
      <c r="I7" s="5" t="n">
        <v>9.955567</v>
      </c>
      <c r="J7" t="n">
        <v>0</v>
      </c>
      <c r="K7" t="n">
        <v>0</v>
      </c>
      <c r="M7">
        <f>COUNTIFS($B$5:$B$2000,B7,$C$5:$C$2000,C7)+COUNTIFS('GM Roster'!$B$5:$B$2000,B7,'GM Roster'!$C$5:$C$2000,C7)</f>
        <v/>
      </c>
      <c r="N7">
        <f>IFERROR(INDEX('Known Players'!$C$5:$C$500,MATCH(B7&amp;"|"&amp;C7,'Known Players'!$F$5:$F$500,0)),"")</f>
        <v/>
      </c>
      <c r="O7">
        <f>IFERROR(INDEX('Known Players'!$D$5:$D$500,MATCH(B7&amp;"|"&amp;C7,'Known Players'!$F$5:$F$500,0)),"")</f>
        <v/>
      </c>
      <c r="P7">
        <f>IFERROR(INDEX('Known Players'!$G$5:$G$500,MATCH(B7&amp;"|"&amp;C7,'Known Players'!$F$5:$F$500,0)),"")</f>
        <v/>
      </c>
    </row>
    <row r="8">
      <c r="A8" t="n">
        <v>48</v>
      </c>
      <c r="B8" t="inlineStr">
        <is>
          <t>Player0200</t>
        </is>
      </c>
      <c r="C8" t="inlineStr">
        <is>
          <t>ExampleWorld179</t>
        </is>
      </c>
      <c r="D8" t="inlineStr">
        <is>
          <t>Horde</t>
        </is>
      </c>
      <c r="E8" t="n">
        <v>6</v>
      </c>
      <c r="F8" t="n">
        <v>5</v>
      </c>
      <c r="G8" t="n">
        <v>4</v>
      </c>
      <c r="H8" s="5" t="n">
        <v>41.188827</v>
      </c>
      <c r="I8" s="5" t="n">
        <v>1.201267</v>
      </c>
      <c r="J8" t="n">
        <v>18</v>
      </c>
      <c r="K8" t="n">
        <v>305</v>
      </c>
      <c r="M8">
        <f>COUNTIFS($B$5:$B$2000,B8,$C$5:$C$2000,C8)+COUNTIFS('GM Roster'!$B$5:$B$2000,B8,'GM Roster'!$C$5:$C$2000,C8)</f>
        <v/>
      </c>
      <c r="N8">
        <f>IFERROR(INDEX('Known Players'!$C$5:$C$500,MATCH(B8&amp;"|"&amp;C8,'Known Players'!$F$5:$F$500,0)),"")</f>
        <v/>
      </c>
      <c r="O8">
        <f>IFERROR(INDEX('Known Players'!$D$5:$D$500,MATCH(B8&amp;"|"&amp;C8,'Known Players'!$F$5:$F$500,0)),"")</f>
        <v/>
      </c>
      <c r="P8">
        <f>IFERROR(INDEX('Known Players'!$G$5:$G$500,MATCH(B8&amp;"|"&amp;C8,'Known Players'!$F$5:$F$500,0)),"")</f>
        <v/>
      </c>
    </row>
    <row r="9">
      <c r="A9" t="n">
        <v>48</v>
      </c>
      <c r="B9" t="inlineStr">
        <is>
          <t>Player0116</t>
        </is>
      </c>
      <c r="C9" t="inlineStr">
        <is>
          <t>ExampleWorld164</t>
        </is>
      </c>
      <c r="D9" t="inlineStr">
        <is>
          <t>Alliance</t>
        </is>
      </c>
      <c r="E9" t="n">
        <v>7</v>
      </c>
      <c r="F9" t="n">
        <v>0</v>
      </c>
      <c r="G9" t="n">
        <v>8</v>
      </c>
      <c r="H9" s="5" t="n">
        <v>38.448827</v>
      </c>
      <c r="I9" s="5" t="n">
        <v>5.297567</v>
      </c>
      <c r="J9" t="n">
        <v>0</v>
      </c>
      <c r="K9" t="n">
        <v>37</v>
      </c>
      <c r="M9">
        <f>COUNTIFS($B$5:$B$2000,B9,$C$5:$C$2000,C9)+COUNTIFS('GM Roster'!$B$5:$B$2000,B9,'GM Roster'!$C$5:$C$2000,C9)</f>
        <v/>
      </c>
      <c r="N9">
        <f>IFERROR(INDEX('Known Players'!$C$5:$C$500,MATCH(B9&amp;"|"&amp;C9,'Known Players'!$F$5:$F$500,0)),"")</f>
        <v/>
      </c>
      <c r="O9">
        <f>IFERROR(INDEX('Known Players'!$D$5:$D$500,MATCH(B9&amp;"|"&amp;C9,'Known Players'!$F$5:$F$500,0)),"")</f>
        <v/>
      </c>
      <c r="P9">
        <f>IFERROR(INDEX('Known Players'!$G$5:$G$500,MATCH(B9&amp;"|"&amp;C9,'Known Players'!$F$5:$F$500,0)),"")</f>
        <v/>
      </c>
    </row>
    <row r="10">
      <c r="A10" t="n">
        <v>48</v>
      </c>
      <c r="B10" t="inlineStr">
        <is>
          <t>Player0044</t>
        </is>
      </c>
      <c r="C10" t="inlineStr">
        <is>
          <t>ExampleWorld164</t>
        </is>
      </c>
      <c r="D10" t="inlineStr">
        <is>
          <t>Alliance</t>
        </is>
      </c>
      <c r="E10" t="n">
        <v>4</v>
      </c>
      <c r="F10" t="n">
        <v>0</v>
      </c>
      <c r="G10" t="n">
        <v>8</v>
      </c>
      <c r="H10" s="5" t="n">
        <v>35.708827</v>
      </c>
      <c r="I10" s="5" t="n">
        <v>6.119567</v>
      </c>
      <c r="J10" t="n">
        <v>20</v>
      </c>
      <c r="K10" t="n">
        <v>105</v>
      </c>
      <c r="M10">
        <f>COUNTIFS($B$5:$B$2000,B10,$C$5:$C$2000,C10)+COUNTIFS('GM Roster'!$B$5:$B$2000,B10,'GM Roster'!$C$5:$C$2000,C10)</f>
        <v/>
      </c>
      <c r="N10">
        <f>IFERROR(INDEX('Known Players'!$C$5:$C$500,MATCH(B10&amp;"|"&amp;C10,'Known Players'!$F$5:$F$500,0)),"")</f>
        <v/>
      </c>
      <c r="O10">
        <f>IFERROR(INDEX('Known Players'!$D$5:$D$500,MATCH(B10&amp;"|"&amp;C10,'Known Players'!$F$5:$F$500,0)),"")</f>
        <v/>
      </c>
      <c r="P10">
        <f>IFERROR(INDEX('Known Players'!$G$5:$G$500,MATCH(B10&amp;"|"&amp;C10,'Known Players'!$F$5:$F$500,0)),"")</f>
        <v/>
      </c>
    </row>
    <row r="11">
      <c r="A11" t="n">
        <v>48</v>
      </c>
      <c r="B11" t="inlineStr">
        <is>
          <t>Asterknight</t>
        </is>
      </c>
      <c r="C11" t="inlineStr">
        <is>
          <t>exampleworld001</t>
        </is>
      </c>
      <c r="D11" t="inlineStr">
        <is>
          <t>Horde</t>
        </is>
      </c>
      <c r="E11" t="n">
        <v>7</v>
      </c>
      <c r="F11" t="n">
        <v>2</v>
      </c>
      <c r="G11" t="n">
        <v>4</v>
      </c>
      <c r="H11" s="5" t="n">
        <v>32.530427</v>
      </c>
      <c r="I11" s="5" t="n">
        <v>10.585767</v>
      </c>
      <c r="J11" t="n">
        <v>19</v>
      </c>
      <c r="K11" t="n">
        <v>127</v>
      </c>
      <c r="M11">
        <f>COUNTIFS($B$5:$B$2000,B11,$C$5:$C$2000,C11)+COUNTIFS('GM Roster'!$B$5:$B$2000,B11,'GM Roster'!$C$5:$C$2000,C11)</f>
        <v/>
      </c>
      <c r="N11">
        <f>IFERROR(INDEX('Known Players'!$C$5:$C$500,MATCH(B11&amp;"|"&amp;C11,'Known Players'!$F$5:$F$500,0)),"")</f>
        <v/>
      </c>
      <c r="O11">
        <f>IFERROR(INDEX('Known Players'!$D$5:$D$500,MATCH(B11&amp;"|"&amp;C11,'Known Players'!$F$5:$F$500,0)),"")</f>
        <v/>
      </c>
      <c r="P11">
        <f>IFERROR(INDEX('Known Players'!$G$5:$G$500,MATCH(B11&amp;"|"&amp;C11,'Known Players'!$F$5:$F$500,0)),"")</f>
        <v/>
      </c>
    </row>
    <row r="12">
      <c r="A12" t="n">
        <v>48</v>
      </c>
      <c r="B12" t="inlineStr">
        <is>
          <t>Player0603</t>
        </is>
      </c>
      <c r="C12" t="inlineStr">
        <is>
          <t>ExampleWorld164</t>
        </is>
      </c>
      <c r="D12" t="inlineStr">
        <is>
          <t>Alliance</t>
        </is>
      </c>
      <c r="E12" t="n">
        <v>4</v>
      </c>
      <c r="F12" t="n">
        <v>5</v>
      </c>
      <c r="G12" t="n">
        <v>2</v>
      </c>
      <c r="H12" s="5" t="n">
        <v>27.488827</v>
      </c>
      <c r="I12" s="5" t="n">
        <v>14.613567</v>
      </c>
      <c r="J12" t="n">
        <v>0</v>
      </c>
      <c r="K12" t="n">
        <v>27</v>
      </c>
      <c r="M12">
        <f>COUNTIFS($B$5:$B$2000,B12,$C$5:$C$2000,C12)+COUNTIFS('GM Roster'!$B$5:$B$2000,B12,'GM Roster'!$C$5:$C$2000,C12)</f>
        <v/>
      </c>
      <c r="N12">
        <f>IFERROR(INDEX('Known Players'!$C$5:$C$500,MATCH(B12&amp;"|"&amp;C12,'Known Players'!$F$5:$F$500,0)),"")</f>
        <v/>
      </c>
      <c r="O12">
        <f>IFERROR(INDEX('Known Players'!$D$5:$D$500,MATCH(B12&amp;"|"&amp;C12,'Known Players'!$F$5:$F$500,0)),"")</f>
        <v/>
      </c>
      <c r="P12">
        <f>IFERROR(INDEX('Known Players'!$G$5:$G$500,MATCH(B12&amp;"|"&amp;C12,'Known Players'!$F$5:$F$500,0)),"")</f>
        <v/>
      </c>
    </row>
    <row r="13">
      <c r="A13" t="n">
        <v>48</v>
      </c>
      <c r="B13" t="inlineStr">
        <is>
          <t>Emberward</t>
        </is>
      </c>
      <c r="C13" t="inlineStr">
        <is>
          <t>SandboxRealm</t>
        </is>
      </c>
      <c r="D13" t="inlineStr">
        <is>
          <t>Horde</t>
        </is>
      </c>
      <c r="E13" t="n">
        <v>0</v>
      </c>
      <c r="F13" t="n">
        <v>8</v>
      </c>
      <c r="G13" t="n">
        <v>0</v>
      </c>
      <c r="H13" s="5" t="n">
        <v>27.488827</v>
      </c>
      <c r="I13" s="5" t="n">
        <v>2.749367</v>
      </c>
      <c r="J13" t="n">
        <v>0</v>
      </c>
      <c r="K13" t="n">
        <v>87</v>
      </c>
      <c r="M13">
        <f>COUNTIFS($B$5:$B$2000,B13,$C$5:$C$2000,C13)+COUNTIFS('GM Roster'!$B$5:$B$2000,B13,'GM Roster'!$C$5:$C$2000,C13)</f>
        <v/>
      </c>
      <c r="N13">
        <f>IFERROR(INDEX('Known Players'!$C$5:$C$500,MATCH(B13&amp;"|"&amp;C13,'Known Players'!$F$5:$F$500,0)),"")</f>
        <v/>
      </c>
      <c r="O13">
        <f>IFERROR(INDEX('Known Players'!$D$5:$D$500,MATCH(B13&amp;"|"&amp;C13,'Known Players'!$F$5:$F$500,0)),"")</f>
        <v/>
      </c>
      <c r="P13">
        <f>IFERROR(INDEX('Known Players'!$G$5:$G$500,MATCH(B13&amp;"|"&amp;C13,'Known Players'!$F$5:$F$500,0)),"")</f>
        <v/>
      </c>
    </row>
    <row r="14">
      <c r="A14" t="n">
        <v>48</v>
      </c>
      <c r="B14" t="inlineStr">
        <is>
          <t>Thornpaw</t>
        </is>
      </c>
      <c r="C14" t="inlineStr">
        <is>
          <t>SandboxRealm</t>
        </is>
      </c>
      <c r="D14" t="inlineStr">
        <is>
          <t>Horde</t>
        </is>
      </c>
      <c r="E14" t="n">
        <v>8</v>
      </c>
      <c r="F14" t="n">
        <v>10</v>
      </c>
      <c r="G14" t="n">
        <v>4</v>
      </c>
      <c r="H14" s="5" t="n">
        <v>25.570827</v>
      </c>
      <c r="I14" s="5" t="n">
        <v>6.941567</v>
      </c>
      <c r="J14" t="n">
        <v>18</v>
      </c>
      <c r="K14" t="n">
        <v>241</v>
      </c>
      <c r="M14">
        <f>COUNTIFS($B$5:$B$2000,B14,$C$5:$C$2000,C14)+COUNTIFS('GM Roster'!$B$5:$B$2000,B14,'GM Roster'!$C$5:$C$2000,C14)</f>
        <v/>
      </c>
      <c r="N14">
        <f>IFERROR(INDEX('Known Players'!$C$5:$C$500,MATCH(B14&amp;"|"&amp;C14,'Known Players'!$F$5:$F$500,0)),"")</f>
        <v/>
      </c>
      <c r="O14">
        <f>IFERROR(INDEX('Known Players'!$D$5:$D$500,MATCH(B14&amp;"|"&amp;C14,'Known Players'!$F$5:$F$500,0)),"")</f>
        <v/>
      </c>
      <c r="P14">
        <f>IFERROR(INDEX('Known Players'!$G$5:$G$500,MATCH(B14&amp;"|"&amp;C14,'Known Players'!$F$5:$F$500,0)),"")</f>
        <v/>
      </c>
    </row>
    <row r="15">
      <c r="A15" t="n">
        <v>48</v>
      </c>
      <c r="B15" t="inlineStr">
        <is>
          <t>Player0391</t>
        </is>
      </c>
      <c r="C15" t="inlineStr">
        <is>
          <t>ExampleWorld003</t>
        </is>
      </c>
      <c r="D15" t="inlineStr">
        <is>
          <t>Horde</t>
        </is>
      </c>
      <c r="E15" t="n">
        <v>4</v>
      </c>
      <c r="F15" t="n">
        <v>10</v>
      </c>
      <c r="G15" t="n">
        <v>4</v>
      </c>
      <c r="H15" s="5" t="n">
        <v>21.460827</v>
      </c>
      <c r="I15" s="5" t="n">
        <v>10.777567</v>
      </c>
      <c r="J15" t="n">
        <v>19</v>
      </c>
      <c r="K15" t="n">
        <v>329</v>
      </c>
      <c r="M15">
        <f>COUNTIFS($B$5:$B$2000,B15,$C$5:$C$2000,C15)+COUNTIFS('GM Roster'!$B$5:$B$2000,B15,'GM Roster'!$C$5:$C$2000,C15)</f>
        <v/>
      </c>
      <c r="N15">
        <f>IFERROR(INDEX('Known Players'!$C$5:$C$500,MATCH(B15&amp;"|"&amp;C15,'Known Players'!$F$5:$F$500,0)),"")</f>
        <v/>
      </c>
      <c r="O15">
        <f>IFERROR(INDEX('Known Players'!$D$5:$D$500,MATCH(B15&amp;"|"&amp;C15,'Known Players'!$F$5:$F$500,0)),"")</f>
        <v/>
      </c>
      <c r="P15">
        <f>IFERROR(INDEX('Known Players'!$G$5:$G$500,MATCH(B15&amp;"|"&amp;C15,'Known Players'!$F$5:$F$500,0)),"")</f>
        <v/>
      </c>
    </row>
    <row r="16">
      <c r="A16" t="n">
        <v>48</v>
      </c>
      <c r="B16" t="inlineStr">
        <is>
          <t>Player0348</t>
        </is>
      </c>
      <c r="C16" t="inlineStr">
        <is>
          <t>ExampleWorld130</t>
        </is>
      </c>
      <c r="D16" t="inlineStr">
        <is>
          <t>Alliance</t>
        </is>
      </c>
      <c r="E16" t="n">
        <v>0</v>
      </c>
      <c r="F16" t="n">
        <v>2</v>
      </c>
      <c r="G16" t="n">
        <v>5</v>
      </c>
      <c r="H16" s="5" t="n">
        <v>18.720827</v>
      </c>
      <c r="I16" s="5" t="n">
        <v>30.231567</v>
      </c>
      <c r="J16" t="n">
        <v>19</v>
      </c>
      <c r="K16" t="n">
        <v>81</v>
      </c>
      <c r="M16">
        <f>COUNTIFS($B$5:$B$2000,B16,$C$5:$C$2000,C16)+COUNTIFS('GM Roster'!$B$5:$B$2000,B16,'GM Roster'!$C$5:$C$2000,C16)</f>
        <v/>
      </c>
      <c r="N16">
        <f>IFERROR(INDEX('Known Players'!$C$5:$C$500,MATCH(B16&amp;"|"&amp;C16,'Known Players'!$F$5:$F$500,0)),"")</f>
        <v/>
      </c>
      <c r="O16">
        <f>IFERROR(INDEX('Known Players'!$D$5:$D$500,MATCH(B16&amp;"|"&amp;C16,'Known Players'!$F$5:$F$500,0)),"")</f>
        <v/>
      </c>
      <c r="P16">
        <f>IFERROR(INDEX('Known Players'!$G$5:$G$500,MATCH(B16&amp;"|"&amp;C16,'Known Players'!$F$5:$F$500,0)),"")</f>
        <v/>
      </c>
    </row>
    <row r="17">
      <c r="A17" t="n">
        <v>48</v>
      </c>
      <c r="B17" t="inlineStr">
        <is>
          <t>Player0133</t>
        </is>
      </c>
      <c r="C17" t="inlineStr">
        <is>
          <t>ExampleWorld164</t>
        </is>
      </c>
      <c r="D17" t="inlineStr">
        <is>
          <t>Alliance</t>
        </is>
      </c>
      <c r="E17" t="n">
        <v>4</v>
      </c>
      <c r="F17" t="n">
        <v>8</v>
      </c>
      <c r="G17" t="n">
        <v>5</v>
      </c>
      <c r="H17" s="5" t="n">
        <v>14.062827</v>
      </c>
      <c r="I17" s="5" t="n">
        <v>4.475567</v>
      </c>
      <c r="J17" t="n">
        <v>19</v>
      </c>
      <c r="K17" t="n">
        <v>69</v>
      </c>
      <c r="M17">
        <f>COUNTIFS($B$5:$B$2000,B17,$C$5:$C$2000,C17)+COUNTIFS('GM Roster'!$B$5:$B$2000,B17,'GM Roster'!$C$5:$C$2000,C17)</f>
        <v/>
      </c>
      <c r="N17">
        <f>IFERROR(INDEX('Known Players'!$C$5:$C$500,MATCH(B17&amp;"|"&amp;C17,'Known Players'!$F$5:$F$500,0)),"")</f>
        <v/>
      </c>
      <c r="O17">
        <f>IFERROR(INDEX('Known Players'!$D$5:$D$500,MATCH(B17&amp;"|"&amp;C17,'Known Players'!$F$5:$F$500,0)),"")</f>
        <v/>
      </c>
      <c r="P17">
        <f>IFERROR(INDEX('Known Players'!$G$5:$G$500,MATCH(B17&amp;"|"&amp;C17,'Known Players'!$F$5:$F$500,0)),"")</f>
        <v/>
      </c>
    </row>
    <row r="18">
      <c r="A18" t="n">
        <v>48</v>
      </c>
      <c r="B18" t="inlineStr">
        <is>
          <t>Player0693</t>
        </is>
      </c>
      <c r="C18" t="inlineStr">
        <is>
          <t>ExampleWorld129</t>
        </is>
      </c>
      <c r="D18" t="inlineStr">
        <is>
          <t>Alliance</t>
        </is>
      </c>
      <c r="E18" t="n">
        <v>7</v>
      </c>
      <c r="F18" t="n">
        <v>8</v>
      </c>
      <c r="G18" t="n">
        <v>2</v>
      </c>
      <c r="H18" s="5" t="n">
        <v>11.596827</v>
      </c>
      <c r="I18" s="5" t="n">
        <v>3.653567</v>
      </c>
      <c r="J18" t="n">
        <v>20</v>
      </c>
      <c r="K18" t="n">
        <v>87</v>
      </c>
      <c r="M18">
        <f>COUNTIFS($B$5:$B$2000,B18,$C$5:$C$2000,C18)+COUNTIFS('GM Roster'!$B$5:$B$2000,B18,'GM Roster'!$C$5:$C$2000,C18)</f>
        <v/>
      </c>
      <c r="N18">
        <f>IFERROR(INDEX('Known Players'!$C$5:$C$500,MATCH(B18&amp;"|"&amp;C18,'Known Players'!$F$5:$F$500,0)),"")</f>
        <v/>
      </c>
      <c r="O18">
        <f>IFERROR(INDEX('Known Players'!$D$5:$D$500,MATCH(B18&amp;"|"&amp;C18,'Known Players'!$F$5:$F$500,0)),"")</f>
        <v/>
      </c>
      <c r="P18">
        <f>IFERROR(INDEX('Known Players'!$G$5:$G$500,MATCH(B18&amp;"|"&amp;C18,'Known Players'!$F$5:$F$500,0)),"")</f>
        <v/>
      </c>
    </row>
    <row r="19">
      <c r="A19" t="n">
        <v>48</v>
      </c>
      <c r="B19" t="inlineStr">
        <is>
          <t>Player0236</t>
        </is>
      </c>
      <c r="C19" t="inlineStr">
        <is>
          <t>ExampleWorld091</t>
        </is>
      </c>
      <c r="D19" t="inlineStr">
        <is>
          <t>Horde</t>
        </is>
      </c>
      <c r="E19" t="n">
        <v>2</v>
      </c>
      <c r="F19" t="n">
        <v>7</v>
      </c>
      <c r="G19" t="n">
        <v>4</v>
      </c>
      <c r="H19" s="5" t="n">
        <v>11.596827</v>
      </c>
      <c r="I19" s="5" t="n">
        <v>4.475567</v>
      </c>
      <c r="J19" t="n">
        <v>18</v>
      </c>
      <c r="K19" t="n">
        <v>119</v>
      </c>
      <c r="M19">
        <f>COUNTIFS($B$5:$B$2000,B19,$C$5:$C$2000,C19)+COUNTIFS('GM Roster'!$B$5:$B$2000,B19,'GM Roster'!$C$5:$C$2000,C19)</f>
        <v/>
      </c>
      <c r="N19">
        <f>IFERROR(INDEX('Known Players'!$C$5:$C$500,MATCH(B19&amp;"|"&amp;C19,'Known Players'!$F$5:$F$500,0)),"")</f>
        <v/>
      </c>
      <c r="O19">
        <f>IFERROR(INDEX('Known Players'!$D$5:$D$500,MATCH(B19&amp;"|"&amp;C19,'Known Players'!$F$5:$F$500,0)),"")</f>
        <v/>
      </c>
      <c r="P19">
        <f>IFERROR(INDEX('Known Players'!$G$5:$G$500,MATCH(B19&amp;"|"&amp;C19,'Known Players'!$F$5:$F$500,0)),"")</f>
        <v/>
      </c>
    </row>
    <row r="20">
      <c r="A20" t="n">
        <v>48</v>
      </c>
      <c r="B20" t="inlineStr">
        <is>
          <t>Player0964</t>
        </is>
      </c>
      <c r="C20" t="inlineStr">
        <is>
          <t>ExampleWorld164</t>
        </is>
      </c>
      <c r="D20" t="inlineStr">
        <is>
          <t>Alliance</t>
        </is>
      </c>
      <c r="E20" t="n">
        <v>0</v>
      </c>
      <c r="F20" t="n">
        <v>8</v>
      </c>
      <c r="G20" t="n">
        <v>10</v>
      </c>
      <c r="H20" s="5" t="n">
        <v>11.048827</v>
      </c>
      <c r="I20" s="5" t="n">
        <v>6.941567</v>
      </c>
      <c r="J20" t="n">
        <v>18</v>
      </c>
      <c r="K20" t="n">
        <v>41</v>
      </c>
      <c r="M20">
        <f>COUNTIFS($B$5:$B$2000,B20,$C$5:$C$2000,C20)+COUNTIFS('GM Roster'!$B$5:$B$2000,B20,'GM Roster'!$C$5:$C$2000,C20)</f>
        <v/>
      </c>
      <c r="N20">
        <f>IFERROR(INDEX('Known Players'!$C$5:$C$500,MATCH(B20&amp;"|"&amp;C20,'Known Players'!$F$5:$F$500,0)),"")</f>
        <v/>
      </c>
      <c r="O20">
        <f>IFERROR(INDEX('Known Players'!$D$5:$D$500,MATCH(B20&amp;"|"&amp;C20,'Known Players'!$F$5:$F$500,0)),"")</f>
        <v/>
      </c>
      <c r="P20">
        <f>IFERROR(INDEX('Known Players'!$G$5:$G$500,MATCH(B20&amp;"|"&amp;C20,'Known Players'!$F$5:$F$500,0)),"")</f>
        <v/>
      </c>
    </row>
    <row r="21">
      <c r="A21" t="n">
        <v>49</v>
      </c>
      <c r="B21" t="inlineStr">
        <is>
          <t>Player0091</t>
        </is>
      </c>
      <c r="C21" t="inlineStr">
        <is>
          <t>SandboxRealm</t>
        </is>
      </c>
      <c r="D21" t="inlineStr">
        <is>
          <t>Horde</t>
        </is>
      </c>
      <c r="E21" t="n">
        <v>1</v>
      </c>
      <c r="F21" t="n">
        <v>8</v>
      </c>
      <c r="G21" t="n">
        <v>0</v>
      </c>
      <c r="H21" s="5" t="n">
        <v>139.828827</v>
      </c>
      <c r="I21" s="5" t="n">
        <v>20.915567</v>
      </c>
      <c r="J21" t="n">
        <v>0</v>
      </c>
      <c r="K21" t="n">
        <v>127</v>
      </c>
      <c r="M21">
        <f>COUNTIFS($B$5:$B$2000,B21,$C$5:$C$2000,C21)+COUNTIFS('GM Roster'!$B$5:$B$2000,B21,'GM Roster'!$C$5:$C$2000,C21)</f>
        <v/>
      </c>
      <c r="N21">
        <f>IFERROR(INDEX('Known Players'!$C$5:$C$500,MATCH(B21&amp;"|"&amp;C21,'Known Players'!$F$5:$F$500,0)),"")</f>
        <v/>
      </c>
      <c r="O21">
        <f>IFERROR(INDEX('Known Players'!$D$5:$D$500,MATCH(B21&amp;"|"&amp;C21,'Known Players'!$F$5:$F$500,0)),"")</f>
        <v/>
      </c>
      <c r="P21">
        <f>IFERROR(INDEX('Known Players'!$G$5:$G$500,MATCH(B21&amp;"|"&amp;C21,'Known Players'!$F$5:$F$500,0)),"")</f>
        <v/>
      </c>
    </row>
    <row r="22">
      <c r="A22" t="n">
        <v>49</v>
      </c>
      <c r="B22" t="inlineStr">
        <is>
          <t>Player0109</t>
        </is>
      </c>
      <c r="C22" t="inlineStr">
        <is>
          <t>SandboxRealm</t>
        </is>
      </c>
      <c r="D22" t="inlineStr">
        <is>
          <t>Horde</t>
        </is>
      </c>
      <c r="E22" t="n">
        <v>7</v>
      </c>
      <c r="F22" t="n">
        <v>8</v>
      </c>
      <c r="G22" t="n">
        <v>0</v>
      </c>
      <c r="H22" s="5" t="n">
        <v>90.508827</v>
      </c>
      <c r="I22" s="5" t="n">
        <v>13.791567</v>
      </c>
      <c r="J22" t="n">
        <v>18</v>
      </c>
      <c r="K22" t="n">
        <v>221</v>
      </c>
      <c r="M22">
        <f>COUNTIFS($B$5:$B$2000,B22,$C$5:$C$2000,C22)+COUNTIFS('GM Roster'!$B$5:$B$2000,B22,'GM Roster'!$C$5:$C$2000,C22)</f>
        <v/>
      </c>
      <c r="N22">
        <f>IFERROR(INDEX('Known Players'!$C$5:$C$500,MATCH(B22&amp;"|"&amp;C22,'Known Players'!$F$5:$F$500,0)),"")</f>
        <v/>
      </c>
      <c r="O22">
        <f>IFERROR(INDEX('Known Players'!$D$5:$D$500,MATCH(B22&amp;"|"&amp;C22,'Known Players'!$F$5:$F$500,0)),"")</f>
        <v/>
      </c>
      <c r="P22">
        <f>IFERROR(INDEX('Known Players'!$G$5:$G$500,MATCH(B22&amp;"|"&amp;C22,'Known Players'!$F$5:$F$500,0)),"")</f>
        <v/>
      </c>
    </row>
    <row r="23">
      <c r="A23" t="n">
        <v>49</v>
      </c>
      <c r="B23" t="inlineStr">
        <is>
          <t>Player0049</t>
        </is>
      </c>
      <c r="C23" t="inlineStr">
        <is>
          <t>ExampleWorld140</t>
        </is>
      </c>
      <c r="D23" t="inlineStr">
        <is>
          <t>Alliance</t>
        </is>
      </c>
      <c r="E23" t="n">
        <v>7</v>
      </c>
      <c r="F23" t="n">
        <v>2</v>
      </c>
      <c r="G23" t="n">
        <v>4</v>
      </c>
      <c r="H23" s="5" t="n">
        <v>85.02882700000001</v>
      </c>
      <c r="I23" s="5" t="n">
        <v>20.093567</v>
      </c>
      <c r="J23" t="n">
        <v>0</v>
      </c>
      <c r="K23" t="n">
        <v>37</v>
      </c>
      <c r="M23">
        <f>COUNTIFS($B$5:$B$2000,B23,$C$5:$C$2000,C23)+COUNTIFS('GM Roster'!$B$5:$B$2000,B23,'GM Roster'!$C$5:$C$2000,C23)</f>
        <v/>
      </c>
      <c r="N23">
        <f>IFERROR(INDEX('Known Players'!$C$5:$C$500,MATCH(B23&amp;"|"&amp;C23,'Known Players'!$F$5:$F$500,0)),"")</f>
        <v/>
      </c>
      <c r="O23">
        <f>IFERROR(INDEX('Known Players'!$D$5:$D$500,MATCH(B23&amp;"|"&amp;C23,'Known Players'!$F$5:$F$500,0)),"")</f>
        <v/>
      </c>
      <c r="P23">
        <f>IFERROR(INDEX('Known Players'!$G$5:$G$500,MATCH(B23&amp;"|"&amp;C23,'Known Players'!$F$5:$F$500,0)),"")</f>
        <v/>
      </c>
    </row>
    <row r="24">
      <c r="A24" t="n">
        <v>49</v>
      </c>
      <c r="B24" t="inlineStr">
        <is>
          <t>Snowflare</t>
        </is>
      </c>
      <c r="C24" t="inlineStr">
        <is>
          <t>SandboxRealm</t>
        </is>
      </c>
      <c r="D24" t="inlineStr">
        <is>
          <t>Horde</t>
        </is>
      </c>
      <c r="E24" t="n">
        <v>7</v>
      </c>
      <c r="F24" t="n">
        <v>5</v>
      </c>
      <c r="G24" t="n">
        <v>7</v>
      </c>
      <c r="H24" s="5" t="n">
        <v>60.368827</v>
      </c>
      <c r="I24" s="5" t="n">
        <v>12.421567</v>
      </c>
      <c r="J24" t="n">
        <v>0</v>
      </c>
      <c r="K24" t="n">
        <v>37</v>
      </c>
      <c r="M24">
        <f>COUNTIFS($B$5:$B$2000,B24,$C$5:$C$2000,C24)+COUNTIFS('GM Roster'!$B$5:$B$2000,B24,'GM Roster'!$C$5:$C$2000,C24)</f>
        <v/>
      </c>
      <c r="N24">
        <f>IFERROR(INDEX('Known Players'!$C$5:$C$500,MATCH(B24&amp;"|"&amp;C24,'Known Players'!$F$5:$F$500,0)),"")</f>
        <v/>
      </c>
      <c r="O24">
        <f>IFERROR(INDEX('Known Players'!$D$5:$D$500,MATCH(B24&amp;"|"&amp;C24,'Known Players'!$F$5:$F$500,0)),"")</f>
        <v/>
      </c>
      <c r="P24">
        <f>IFERROR(INDEX('Known Players'!$G$5:$G$500,MATCH(B24&amp;"|"&amp;C24,'Known Players'!$F$5:$F$500,0)),"")</f>
        <v/>
      </c>
    </row>
    <row r="25">
      <c r="A25" t="n">
        <v>49</v>
      </c>
      <c r="B25" t="inlineStr">
        <is>
          <t>Emberward</t>
        </is>
      </c>
      <c r="C25" t="inlineStr">
        <is>
          <t>SandboxRealm</t>
        </is>
      </c>
      <c r="D25" t="inlineStr">
        <is>
          <t>Horde</t>
        </is>
      </c>
      <c r="E25" t="n">
        <v>0</v>
      </c>
      <c r="F25" t="n">
        <v>5</v>
      </c>
      <c r="G25" t="n">
        <v>7</v>
      </c>
      <c r="H25" s="5" t="n">
        <v>57.628827</v>
      </c>
      <c r="I25" s="5" t="n">
        <v>5.571567</v>
      </c>
      <c r="J25" t="n">
        <v>18</v>
      </c>
      <c r="K25" t="n">
        <v>157</v>
      </c>
      <c r="M25">
        <f>COUNTIFS($B$5:$B$2000,B25,$C$5:$C$2000,C25)+COUNTIFS('GM Roster'!$B$5:$B$2000,B25,'GM Roster'!$C$5:$C$2000,C25)</f>
        <v/>
      </c>
      <c r="N25">
        <f>IFERROR(INDEX('Known Players'!$C$5:$C$500,MATCH(B25&amp;"|"&amp;C25,'Known Players'!$F$5:$F$500,0)),"")</f>
        <v/>
      </c>
      <c r="O25">
        <f>IFERROR(INDEX('Known Players'!$D$5:$D$500,MATCH(B25&amp;"|"&amp;C25,'Known Players'!$F$5:$F$500,0)),"")</f>
        <v/>
      </c>
      <c r="P25">
        <f>IFERROR(INDEX('Known Players'!$G$5:$G$500,MATCH(B25&amp;"|"&amp;C25,'Known Players'!$F$5:$F$500,0)),"")</f>
        <v/>
      </c>
    </row>
    <row r="26">
      <c r="A26" t="n">
        <v>49</v>
      </c>
      <c r="B26" t="inlineStr">
        <is>
          <t>Player0886</t>
        </is>
      </c>
      <c r="C26" t="inlineStr">
        <is>
          <t>ExampleWorld164</t>
        </is>
      </c>
      <c r="D26" t="inlineStr">
        <is>
          <t>Alliance</t>
        </is>
      </c>
      <c r="E26" t="n">
        <v>10</v>
      </c>
      <c r="F26" t="n">
        <v>7</v>
      </c>
      <c r="G26" t="n">
        <v>0</v>
      </c>
      <c r="H26" s="5" t="n">
        <v>57.628827</v>
      </c>
      <c r="I26" s="5" t="n">
        <v>5.571567</v>
      </c>
      <c r="J26" t="n">
        <v>0</v>
      </c>
      <c r="K26" t="n">
        <v>47</v>
      </c>
      <c r="M26">
        <f>COUNTIFS($B$5:$B$2000,B26,$C$5:$C$2000,C26)+COUNTIFS('GM Roster'!$B$5:$B$2000,B26,'GM Roster'!$C$5:$C$2000,C26)</f>
        <v/>
      </c>
      <c r="N26">
        <f>IFERROR(INDEX('Known Players'!$C$5:$C$500,MATCH(B26&amp;"|"&amp;C26,'Known Players'!$F$5:$F$500,0)),"")</f>
        <v/>
      </c>
      <c r="O26">
        <f>IFERROR(INDEX('Known Players'!$D$5:$D$500,MATCH(B26&amp;"|"&amp;C26,'Known Players'!$F$5:$F$500,0)),"")</f>
        <v/>
      </c>
      <c r="P26">
        <f>IFERROR(INDEX('Known Players'!$G$5:$G$500,MATCH(B26&amp;"|"&amp;C26,'Known Players'!$F$5:$F$500,0)),"")</f>
        <v/>
      </c>
    </row>
    <row r="27">
      <c r="A27" t="n">
        <v>49</v>
      </c>
      <c r="B27" t="inlineStr">
        <is>
          <t>Player0325</t>
        </is>
      </c>
      <c r="C27" t="inlineStr">
        <is>
          <t>ExampleWorld140</t>
        </is>
      </c>
      <c r="D27" t="inlineStr">
        <is>
          <t>Alliance</t>
        </is>
      </c>
      <c r="E27" t="n">
        <v>7</v>
      </c>
      <c r="F27" t="n">
        <v>10</v>
      </c>
      <c r="G27" t="n">
        <v>5</v>
      </c>
      <c r="H27" s="5" t="n">
        <v>49.408827</v>
      </c>
      <c r="I27" s="5" t="n">
        <v>10.229567</v>
      </c>
      <c r="J27" t="n">
        <v>0</v>
      </c>
      <c r="K27" t="n">
        <v>37</v>
      </c>
      <c r="M27">
        <f>COUNTIFS($B$5:$B$2000,B27,$C$5:$C$2000,C27)+COUNTIFS('GM Roster'!$B$5:$B$2000,B27,'GM Roster'!$C$5:$C$2000,C27)</f>
        <v/>
      </c>
      <c r="N27">
        <f>IFERROR(INDEX('Known Players'!$C$5:$C$500,MATCH(B27&amp;"|"&amp;C27,'Known Players'!$F$5:$F$500,0)),"")</f>
        <v/>
      </c>
      <c r="O27">
        <f>IFERROR(INDEX('Known Players'!$D$5:$D$500,MATCH(B27&amp;"|"&amp;C27,'Known Players'!$F$5:$F$500,0)),"")</f>
        <v/>
      </c>
      <c r="P27">
        <f>IFERROR(INDEX('Known Players'!$G$5:$G$500,MATCH(B27&amp;"|"&amp;C27,'Known Players'!$F$5:$F$500,0)),"")</f>
        <v/>
      </c>
    </row>
    <row r="28">
      <c r="A28" t="n">
        <v>49</v>
      </c>
      <c r="B28" t="inlineStr">
        <is>
          <t>Player0025</t>
        </is>
      </c>
      <c r="C28" t="inlineStr">
        <is>
          <t>SandboxRealm</t>
        </is>
      </c>
      <c r="D28" t="inlineStr">
        <is>
          <t>Horde</t>
        </is>
      </c>
      <c r="E28" t="n">
        <v>3</v>
      </c>
      <c r="F28" t="n">
        <v>10</v>
      </c>
      <c r="G28" t="n">
        <v>10</v>
      </c>
      <c r="H28" s="5" t="n">
        <v>46.668827</v>
      </c>
      <c r="I28" s="5" t="n">
        <v>10.777567</v>
      </c>
      <c r="J28" t="n">
        <v>20</v>
      </c>
      <c r="K28" t="n">
        <v>333</v>
      </c>
      <c r="M28">
        <f>COUNTIFS($B$5:$B$2000,B28,$C$5:$C$2000,C28)+COUNTIFS('GM Roster'!$B$5:$B$2000,B28,'GM Roster'!$C$5:$C$2000,C28)</f>
        <v/>
      </c>
      <c r="N28">
        <f>IFERROR(INDEX('Known Players'!$C$5:$C$500,MATCH(B28&amp;"|"&amp;C28,'Known Players'!$F$5:$F$500,0)),"")</f>
        <v/>
      </c>
      <c r="O28">
        <f>IFERROR(INDEX('Known Players'!$D$5:$D$500,MATCH(B28&amp;"|"&amp;C28,'Known Players'!$F$5:$F$500,0)),"")</f>
        <v/>
      </c>
      <c r="P28">
        <f>IFERROR(INDEX('Known Players'!$G$5:$G$500,MATCH(B28&amp;"|"&amp;C28,'Known Players'!$F$5:$F$500,0)),"")</f>
        <v/>
      </c>
    </row>
    <row r="29">
      <c r="A29" t="n">
        <v>49</v>
      </c>
      <c r="B29" t="inlineStr">
        <is>
          <t>Player0843</t>
        </is>
      </c>
      <c r="C29" t="inlineStr">
        <is>
          <t>ExampleWorld133</t>
        </is>
      </c>
      <c r="D29" t="inlineStr">
        <is>
          <t>Alliance</t>
        </is>
      </c>
      <c r="E29" t="n">
        <v>4</v>
      </c>
      <c r="F29" t="n">
        <v>10</v>
      </c>
      <c r="G29" t="n">
        <v>5</v>
      </c>
      <c r="H29" s="5" t="n">
        <v>46.668827</v>
      </c>
      <c r="I29" s="5" t="n">
        <v>3.927567</v>
      </c>
      <c r="J29" t="n">
        <v>18</v>
      </c>
      <c r="K29" t="n">
        <v>57</v>
      </c>
      <c r="M29">
        <f>COUNTIFS($B$5:$B$2000,B29,$C$5:$C$2000,C29)+COUNTIFS('GM Roster'!$B$5:$B$2000,B29,'GM Roster'!$C$5:$C$2000,C29)</f>
        <v/>
      </c>
      <c r="N29">
        <f>IFERROR(INDEX('Known Players'!$C$5:$C$500,MATCH(B29&amp;"|"&amp;C29,'Known Players'!$F$5:$F$500,0)),"")</f>
        <v/>
      </c>
      <c r="O29">
        <f>IFERROR(INDEX('Known Players'!$D$5:$D$500,MATCH(B29&amp;"|"&amp;C29,'Known Players'!$F$5:$F$500,0)),"")</f>
        <v/>
      </c>
      <c r="P29">
        <f>IFERROR(INDEX('Known Players'!$G$5:$G$500,MATCH(B29&amp;"|"&amp;C29,'Known Players'!$F$5:$F$500,0)),"")</f>
        <v/>
      </c>
    </row>
    <row r="30">
      <c r="A30" t="n">
        <v>49</v>
      </c>
      <c r="B30" t="inlineStr">
        <is>
          <t>Thornpaw</t>
        </is>
      </c>
      <c r="C30" t="inlineStr">
        <is>
          <t>SandboxRealm</t>
        </is>
      </c>
      <c r="D30" t="inlineStr">
        <is>
          <t>Horde</t>
        </is>
      </c>
      <c r="E30" t="n">
        <v>7</v>
      </c>
      <c r="F30" t="n">
        <v>8</v>
      </c>
      <c r="G30" t="n">
        <v>0</v>
      </c>
      <c r="H30" s="5" t="n">
        <v>43.928827</v>
      </c>
      <c r="I30" s="5" t="n">
        <v>14.887567</v>
      </c>
      <c r="J30" t="n">
        <v>0</v>
      </c>
      <c r="K30" t="n">
        <v>37</v>
      </c>
      <c r="M30">
        <f>COUNTIFS($B$5:$B$2000,B30,$C$5:$C$2000,C30)+COUNTIFS('GM Roster'!$B$5:$B$2000,B30,'GM Roster'!$C$5:$C$2000,C30)</f>
        <v/>
      </c>
      <c r="N30">
        <f>IFERROR(INDEX('Known Players'!$C$5:$C$500,MATCH(B30&amp;"|"&amp;C30,'Known Players'!$F$5:$F$500,0)),"")</f>
        <v/>
      </c>
      <c r="O30">
        <f>IFERROR(INDEX('Known Players'!$D$5:$D$500,MATCH(B30&amp;"|"&amp;C30,'Known Players'!$F$5:$F$500,0)),"")</f>
        <v/>
      </c>
      <c r="P30">
        <f>IFERROR(INDEX('Known Players'!$G$5:$G$500,MATCH(B30&amp;"|"&amp;C30,'Known Players'!$F$5:$F$500,0)),"")</f>
        <v/>
      </c>
    </row>
    <row r="31">
      <c r="A31" t="n">
        <v>49</v>
      </c>
      <c r="B31" t="inlineStr">
        <is>
          <t>Player0423</t>
        </is>
      </c>
      <c r="C31" t="inlineStr">
        <is>
          <t>ExampleWorld140</t>
        </is>
      </c>
      <c r="D31" t="inlineStr">
        <is>
          <t>Alliance</t>
        </is>
      </c>
      <c r="E31" t="n">
        <v>7</v>
      </c>
      <c r="F31" t="n">
        <v>2</v>
      </c>
      <c r="G31" t="n">
        <v>2</v>
      </c>
      <c r="H31" s="5" t="n">
        <v>38.448827</v>
      </c>
      <c r="I31" s="5" t="n">
        <v>6.119567</v>
      </c>
      <c r="J31" t="n">
        <v>18</v>
      </c>
      <c r="K31" t="n">
        <v>73</v>
      </c>
      <c r="M31">
        <f>COUNTIFS($B$5:$B$2000,B31,$C$5:$C$2000,C31)+COUNTIFS('GM Roster'!$B$5:$B$2000,B31,'GM Roster'!$C$5:$C$2000,C31)</f>
        <v/>
      </c>
      <c r="N31">
        <f>IFERROR(INDEX('Known Players'!$C$5:$C$500,MATCH(B31&amp;"|"&amp;C31,'Known Players'!$F$5:$F$500,0)),"")</f>
        <v/>
      </c>
      <c r="O31">
        <f>IFERROR(INDEX('Known Players'!$D$5:$D$500,MATCH(B31&amp;"|"&amp;C31,'Known Players'!$F$5:$F$500,0)),"")</f>
        <v/>
      </c>
      <c r="P31">
        <f>IFERROR(INDEX('Known Players'!$G$5:$G$500,MATCH(B31&amp;"|"&amp;C31,'Known Players'!$F$5:$F$500,0)),"")</f>
        <v/>
      </c>
    </row>
    <row r="32">
      <c r="A32" t="n">
        <v>49</v>
      </c>
      <c r="B32" t="inlineStr">
        <is>
          <t>Player0490</t>
        </is>
      </c>
      <c r="C32" t="inlineStr">
        <is>
          <t>SandboxRealm</t>
        </is>
      </c>
      <c r="D32" t="inlineStr">
        <is>
          <t>Horde</t>
        </is>
      </c>
      <c r="E32" t="n">
        <v>2</v>
      </c>
      <c r="F32" t="n">
        <v>1</v>
      </c>
      <c r="G32" t="n">
        <v>10</v>
      </c>
      <c r="H32" s="5" t="n">
        <v>38.448827</v>
      </c>
      <c r="I32" s="5" t="n">
        <v>22.285567</v>
      </c>
      <c r="J32" t="n">
        <v>21</v>
      </c>
      <c r="K32" t="n">
        <v>403</v>
      </c>
      <c r="M32">
        <f>COUNTIFS($B$5:$B$2000,B32,$C$5:$C$2000,C32)+COUNTIFS('GM Roster'!$B$5:$B$2000,B32,'GM Roster'!$C$5:$C$2000,C32)</f>
        <v/>
      </c>
      <c r="N32">
        <f>IFERROR(INDEX('Known Players'!$C$5:$C$500,MATCH(B32&amp;"|"&amp;C32,'Known Players'!$F$5:$F$500,0)),"")</f>
        <v/>
      </c>
      <c r="O32">
        <f>IFERROR(INDEX('Known Players'!$D$5:$D$500,MATCH(B32&amp;"|"&amp;C32,'Known Players'!$F$5:$F$500,0)),"")</f>
        <v/>
      </c>
      <c r="P32">
        <f>IFERROR(INDEX('Known Players'!$G$5:$G$500,MATCH(B32&amp;"|"&amp;C32,'Known Players'!$F$5:$F$500,0)),"")</f>
        <v/>
      </c>
    </row>
    <row r="33">
      <c r="A33" t="n">
        <v>49</v>
      </c>
      <c r="B33" t="inlineStr">
        <is>
          <t>Asterknight</t>
        </is>
      </c>
      <c r="C33" t="inlineStr">
        <is>
          <t>exampleworld001</t>
        </is>
      </c>
      <c r="D33" t="inlineStr">
        <is>
          <t>Horde</t>
        </is>
      </c>
      <c r="E33" t="n">
        <v>7</v>
      </c>
      <c r="F33" t="n">
        <v>1</v>
      </c>
      <c r="G33" t="n">
        <v>10</v>
      </c>
      <c r="H33" s="5" t="n">
        <v>38.092627</v>
      </c>
      <c r="I33" s="5" t="n">
        <v>13.353167</v>
      </c>
      <c r="J33" t="n">
        <v>20</v>
      </c>
      <c r="K33" t="n">
        <v>319</v>
      </c>
      <c r="M33">
        <f>COUNTIFS($B$5:$B$2000,B33,$C$5:$C$2000,C33)+COUNTIFS('GM Roster'!$B$5:$B$2000,B33,'GM Roster'!$C$5:$C$2000,C33)</f>
        <v/>
      </c>
      <c r="N33">
        <f>IFERROR(INDEX('Known Players'!$C$5:$C$500,MATCH(B33&amp;"|"&amp;C33,'Known Players'!$F$5:$F$500,0)),"")</f>
        <v/>
      </c>
      <c r="O33">
        <f>IFERROR(INDEX('Known Players'!$D$5:$D$500,MATCH(B33&amp;"|"&amp;C33,'Known Players'!$F$5:$F$500,0)),"")</f>
        <v/>
      </c>
      <c r="P33">
        <f>IFERROR(INDEX('Known Players'!$G$5:$G$500,MATCH(B33&amp;"|"&amp;C33,'Known Players'!$F$5:$F$500,0)),"")</f>
        <v/>
      </c>
    </row>
    <row r="34">
      <c r="A34" t="n">
        <v>49</v>
      </c>
      <c r="B34" t="inlineStr">
        <is>
          <t>Player0602</t>
        </is>
      </c>
      <c r="C34" t="inlineStr">
        <is>
          <t>ExampleWorld129</t>
        </is>
      </c>
      <c r="D34" t="inlineStr">
        <is>
          <t>Alliance</t>
        </is>
      </c>
      <c r="E34" t="n">
        <v>7</v>
      </c>
      <c r="F34" t="n">
        <v>10</v>
      </c>
      <c r="G34" t="n">
        <v>10</v>
      </c>
      <c r="H34" s="5" t="n">
        <v>35.708827</v>
      </c>
      <c r="I34" s="5" t="n">
        <v>6.941567</v>
      </c>
      <c r="J34" t="n">
        <v>21</v>
      </c>
      <c r="K34" t="n">
        <v>319</v>
      </c>
      <c r="M34">
        <f>COUNTIFS($B$5:$B$2000,B34,$C$5:$C$2000,C34)+COUNTIFS('GM Roster'!$B$5:$B$2000,B34,'GM Roster'!$C$5:$C$2000,C34)</f>
        <v/>
      </c>
      <c r="N34">
        <f>IFERROR(INDEX('Known Players'!$C$5:$C$500,MATCH(B34&amp;"|"&amp;C34,'Known Players'!$F$5:$F$500,0)),"")</f>
        <v/>
      </c>
      <c r="O34">
        <f>IFERROR(INDEX('Known Players'!$D$5:$D$500,MATCH(B34&amp;"|"&amp;C34,'Known Players'!$F$5:$F$500,0)),"")</f>
        <v/>
      </c>
      <c r="P34">
        <f>IFERROR(INDEX('Known Players'!$G$5:$G$500,MATCH(B34&amp;"|"&amp;C34,'Known Players'!$F$5:$F$500,0)),"")</f>
        <v/>
      </c>
    </row>
    <row r="35">
      <c r="A35" t="n">
        <v>49</v>
      </c>
      <c r="B35" t="inlineStr">
        <is>
          <t>Player0514</t>
        </is>
      </c>
      <c r="C35" t="inlineStr">
        <is>
          <t>ExampleWorld133</t>
        </is>
      </c>
      <c r="D35" t="inlineStr">
        <is>
          <t>Alliance</t>
        </is>
      </c>
      <c r="E35" t="n">
        <v>7</v>
      </c>
      <c r="F35" t="n">
        <v>10</v>
      </c>
      <c r="G35" t="n">
        <v>2</v>
      </c>
      <c r="H35" s="5" t="n">
        <v>20.638827</v>
      </c>
      <c r="I35" s="5" t="n">
        <v>3.379567</v>
      </c>
      <c r="J35" t="n">
        <v>20</v>
      </c>
      <c r="K35" t="n">
        <v>247</v>
      </c>
      <c r="M35">
        <f>COUNTIFS($B$5:$B$2000,B35,$C$5:$C$2000,C35)+COUNTIFS('GM Roster'!$B$5:$B$2000,B35,'GM Roster'!$C$5:$C$2000,C35)</f>
        <v/>
      </c>
      <c r="N35">
        <f>IFERROR(INDEX('Known Players'!$C$5:$C$500,MATCH(B35&amp;"|"&amp;C35,'Known Players'!$F$5:$F$500,0)),"")</f>
        <v/>
      </c>
      <c r="O35">
        <f>IFERROR(INDEX('Known Players'!$D$5:$D$500,MATCH(B35&amp;"|"&amp;C35,'Known Players'!$F$5:$F$500,0)),"")</f>
        <v/>
      </c>
      <c r="P35">
        <f>IFERROR(INDEX('Known Players'!$G$5:$G$500,MATCH(B35&amp;"|"&amp;C35,'Known Players'!$F$5:$F$500,0)),"")</f>
        <v/>
      </c>
    </row>
    <row r="36">
      <c r="A36" t="n">
        <v>49</v>
      </c>
      <c r="B36" t="inlineStr">
        <is>
          <t>Player0891</t>
        </is>
      </c>
      <c r="C36" t="inlineStr">
        <is>
          <t>ExampleWorld133</t>
        </is>
      </c>
      <c r="D36" t="inlineStr">
        <is>
          <t>Alliance</t>
        </is>
      </c>
      <c r="E36" t="n">
        <v>0</v>
      </c>
      <c r="F36" t="n">
        <v>7</v>
      </c>
      <c r="G36" t="n">
        <v>5</v>
      </c>
      <c r="H36" s="5" t="n">
        <v>14.336827</v>
      </c>
      <c r="I36" s="5" t="n">
        <v>38.451567</v>
      </c>
      <c r="J36" t="n">
        <v>20</v>
      </c>
      <c r="K36" t="n">
        <v>111</v>
      </c>
      <c r="M36">
        <f>COUNTIFS($B$5:$B$2000,B36,$C$5:$C$2000,C36)+COUNTIFS('GM Roster'!$B$5:$B$2000,B36,'GM Roster'!$C$5:$C$2000,C36)</f>
        <v/>
      </c>
      <c r="N36">
        <f>IFERROR(INDEX('Known Players'!$C$5:$C$500,MATCH(B36&amp;"|"&amp;C36,'Known Players'!$F$5:$F$500,0)),"")</f>
        <v/>
      </c>
      <c r="O36">
        <f>IFERROR(INDEX('Known Players'!$D$5:$D$500,MATCH(B36&amp;"|"&amp;C36,'Known Players'!$F$5:$F$500,0)),"")</f>
        <v/>
      </c>
      <c r="P36">
        <f>IFERROR(INDEX('Known Players'!$G$5:$G$500,MATCH(B36&amp;"|"&amp;C36,'Known Players'!$F$5:$F$500,0)),"")</f>
        <v/>
      </c>
    </row>
    <row r="37">
      <c r="A37" t="n">
        <v>50</v>
      </c>
      <c r="B37" t="inlineStr">
        <is>
          <t>Player0180</t>
        </is>
      </c>
      <c r="C37" t="inlineStr">
        <is>
          <t>SandboxRealm</t>
        </is>
      </c>
      <c r="D37" t="inlineStr">
        <is>
          <t>Horde</t>
        </is>
      </c>
      <c r="E37" t="n">
        <v>0</v>
      </c>
      <c r="F37" t="n">
        <v>0</v>
      </c>
      <c r="G37" t="n">
        <v>7</v>
      </c>
      <c r="H37" s="5" t="n">
        <v>5.020827</v>
      </c>
      <c r="I37" s="5" t="n">
        <v>101.471567</v>
      </c>
      <c r="M37">
        <f>COUNTIFS($B$5:$B$2000,B37,$C$5:$C$2000,C37)+COUNTIFS('GM Roster'!$B$5:$B$2000,B37,'GM Roster'!$C$5:$C$2000,C37)</f>
        <v/>
      </c>
      <c r="N37">
        <f>IFERROR(INDEX('Known Players'!$C$5:$C$500,MATCH(B37&amp;"|"&amp;C37,'Known Players'!$F$5:$F$500,0)),"")</f>
        <v/>
      </c>
      <c r="O37">
        <f>IFERROR(INDEX('Known Players'!$D$5:$D$500,MATCH(B37&amp;"|"&amp;C37,'Known Players'!$F$5:$F$500,0)),"")</f>
        <v/>
      </c>
      <c r="P37">
        <f>IFERROR(INDEX('Known Players'!$G$5:$G$500,MATCH(B37&amp;"|"&amp;C37,'Known Players'!$F$5:$F$500,0)),"")</f>
        <v/>
      </c>
    </row>
    <row r="38">
      <c r="A38" t="n">
        <v>50</v>
      </c>
      <c r="B38" t="inlineStr">
        <is>
          <t>Player0382</t>
        </is>
      </c>
      <c r="C38" t="inlineStr">
        <is>
          <t>ExampleWorld102</t>
        </is>
      </c>
      <c r="D38" t="inlineStr">
        <is>
          <t>Horde</t>
        </is>
      </c>
      <c r="E38" t="n">
        <v>0</v>
      </c>
      <c r="F38" t="n">
        <v>1</v>
      </c>
      <c r="G38" t="n">
        <v>7</v>
      </c>
      <c r="H38" s="5" t="n">
        <v>6.116827</v>
      </c>
      <c r="I38" s="5" t="n">
        <v>43.931567</v>
      </c>
      <c r="M38">
        <f>COUNTIFS($B$5:$B$2000,B38,$C$5:$C$2000,C38)+COUNTIFS('GM Roster'!$B$5:$B$2000,B38,'GM Roster'!$C$5:$C$2000,C38)</f>
        <v/>
      </c>
      <c r="N38">
        <f>IFERROR(INDEX('Known Players'!$C$5:$C$500,MATCH(B38&amp;"|"&amp;C38,'Known Players'!$F$5:$F$500,0)),"")</f>
        <v/>
      </c>
      <c r="O38">
        <f>IFERROR(INDEX('Known Players'!$D$5:$D$500,MATCH(B38&amp;"|"&amp;C38,'Known Players'!$F$5:$F$500,0)),"")</f>
        <v/>
      </c>
      <c r="P38">
        <f>IFERROR(INDEX('Known Players'!$G$5:$G$500,MATCH(B38&amp;"|"&amp;C38,'Known Players'!$F$5:$F$500,0)),"")</f>
        <v/>
      </c>
    </row>
    <row r="39">
      <c r="A39" t="n">
        <v>50</v>
      </c>
      <c r="B39" t="inlineStr">
        <is>
          <t>Player0510</t>
        </is>
      </c>
      <c r="C39" t="inlineStr">
        <is>
          <t>ExampleWorld029</t>
        </is>
      </c>
      <c r="D39" t="inlineStr">
        <is>
          <t>Horde</t>
        </is>
      </c>
      <c r="E39" t="n">
        <v>0</v>
      </c>
      <c r="F39" t="n">
        <v>1</v>
      </c>
      <c r="G39" t="n">
        <v>10</v>
      </c>
      <c r="H39" s="5" t="n">
        <v>20.364827</v>
      </c>
      <c r="I39" s="5" t="n">
        <v>26.669567</v>
      </c>
      <c r="M39">
        <f>COUNTIFS($B$5:$B$2000,B39,$C$5:$C$2000,C39)+COUNTIFS('GM Roster'!$B$5:$B$2000,B39,'GM Roster'!$C$5:$C$2000,C39)</f>
        <v/>
      </c>
      <c r="N39">
        <f>IFERROR(INDEX('Known Players'!$C$5:$C$500,MATCH(B39&amp;"|"&amp;C39,'Known Players'!$F$5:$F$500,0)),"")</f>
        <v/>
      </c>
      <c r="O39">
        <f>IFERROR(INDEX('Known Players'!$D$5:$D$500,MATCH(B39&amp;"|"&amp;C39,'Known Players'!$F$5:$F$500,0)),"")</f>
        <v/>
      </c>
      <c r="P39">
        <f>IFERROR(INDEX('Known Players'!$G$5:$G$500,MATCH(B39&amp;"|"&amp;C39,'Known Players'!$F$5:$F$500,0)),"")</f>
        <v/>
      </c>
    </row>
    <row r="40">
      <c r="A40" t="n">
        <v>50</v>
      </c>
      <c r="B40" t="inlineStr">
        <is>
          <t>Snowflare</t>
        </is>
      </c>
      <c r="C40" t="inlineStr">
        <is>
          <t>SandboxRealm</t>
        </is>
      </c>
      <c r="D40" t="inlineStr">
        <is>
          <t>Horde</t>
        </is>
      </c>
      <c r="E40" t="n">
        <v>2</v>
      </c>
      <c r="F40" t="n">
        <v>4</v>
      </c>
      <c r="G40" t="n">
        <v>10</v>
      </c>
      <c r="H40" s="5" t="n">
        <v>52.148827</v>
      </c>
      <c r="I40" s="5" t="n">
        <v>19.271567</v>
      </c>
      <c r="M40">
        <f>COUNTIFS($B$5:$B$2000,B40,$C$5:$C$2000,C40)+COUNTIFS('GM Roster'!$B$5:$B$2000,B40,'GM Roster'!$C$5:$C$2000,C40)</f>
        <v/>
      </c>
      <c r="N40">
        <f>IFERROR(INDEX('Known Players'!$C$5:$C$500,MATCH(B40&amp;"|"&amp;C40,'Known Players'!$F$5:$F$500,0)),"")</f>
        <v/>
      </c>
      <c r="O40">
        <f>IFERROR(INDEX('Known Players'!$D$5:$D$500,MATCH(B40&amp;"|"&amp;C40,'Known Players'!$F$5:$F$500,0)),"")</f>
        <v/>
      </c>
      <c r="P40">
        <f>IFERROR(INDEX('Known Players'!$G$5:$G$500,MATCH(B40&amp;"|"&amp;C40,'Known Players'!$F$5:$F$500,0)),"")</f>
        <v/>
      </c>
    </row>
    <row r="41">
      <c r="A41" t="n">
        <v>50</v>
      </c>
      <c r="B41" t="inlineStr">
        <is>
          <t>Player0359</t>
        </is>
      </c>
      <c r="C41" t="inlineStr">
        <is>
          <t>ExampleWorld174</t>
        </is>
      </c>
      <c r="D41" t="inlineStr">
        <is>
          <t>Horde</t>
        </is>
      </c>
      <c r="E41" t="n">
        <v>0</v>
      </c>
      <c r="F41" t="n">
        <v>8</v>
      </c>
      <c r="G41" t="n">
        <v>10</v>
      </c>
      <c r="H41" s="5" t="n">
        <v>6.116827</v>
      </c>
      <c r="I41" s="5" t="n">
        <v>19.271567</v>
      </c>
      <c r="M41">
        <f>COUNTIFS($B$5:$B$2000,B41,$C$5:$C$2000,C41)+COUNTIFS('GM Roster'!$B$5:$B$2000,B41,'GM Roster'!$C$5:$C$2000,C41)</f>
        <v/>
      </c>
      <c r="N41">
        <f>IFERROR(INDEX('Known Players'!$C$5:$C$500,MATCH(B41&amp;"|"&amp;C41,'Known Players'!$F$5:$F$500,0)),"")</f>
        <v/>
      </c>
      <c r="O41">
        <f>IFERROR(INDEX('Known Players'!$D$5:$D$500,MATCH(B41&amp;"|"&amp;C41,'Known Players'!$F$5:$F$500,0)),"")</f>
        <v/>
      </c>
      <c r="P41">
        <f>IFERROR(INDEX('Known Players'!$G$5:$G$500,MATCH(B41&amp;"|"&amp;C41,'Known Players'!$F$5:$F$500,0)),"")</f>
        <v/>
      </c>
    </row>
    <row r="42">
      <c r="A42" t="n">
        <v>50</v>
      </c>
      <c r="B42" t="inlineStr">
        <is>
          <t>Player0488</t>
        </is>
      </c>
      <c r="C42" t="inlineStr">
        <is>
          <t>ExampleWorld169</t>
        </is>
      </c>
      <c r="D42" t="inlineStr">
        <is>
          <t>Horde</t>
        </is>
      </c>
      <c r="E42" t="n">
        <v>10</v>
      </c>
      <c r="F42" t="n">
        <v>10</v>
      </c>
      <c r="G42" t="n">
        <v>0</v>
      </c>
      <c r="H42" s="5" t="n">
        <v>93.24882700000001</v>
      </c>
      <c r="I42" s="5" t="n">
        <v>15.709567</v>
      </c>
      <c r="M42">
        <f>COUNTIFS($B$5:$B$2000,B42,$C$5:$C$2000,C42)+COUNTIFS('GM Roster'!$B$5:$B$2000,B42,'GM Roster'!$C$5:$C$2000,C42)</f>
        <v/>
      </c>
      <c r="N42">
        <f>IFERROR(INDEX('Known Players'!$C$5:$C$500,MATCH(B42&amp;"|"&amp;C42,'Known Players'!$F$5:$F$500,0)),"")</f>
        <v/>
      </c>
      <c r="O42">
        <f>IFERROR(INDEX('Known Players'!$D$5:$D$500,MATCH(B42&amp;"|"&amp;C42,'Known Players'!$F$5:$F$500,0)),"")</f>
        <v/>
      </c>
      <c r="P42">
        <f>IFERROR(INDEX('Known Players'!$G$5:$G$500,MATCH(B42&amp;"|"&amp;C42,'Known Players'!$F$5:$F$500,0)),"")</f>
        <v/>
      </c>
    </row>
    <row r="43">
      <c r="A43" t="n">
        <v>50</v>
      </c>
      <c r="B43" t="inlineStr">
        <is>
          <t>Thornpaw</t>
        </is>
      </c>
      <c r="C43" t="inlineStr">
        <is>
          <t>SandboxRealm</t>
        </is>
      </c>
      <c r="D43" t="inlineStr">
        <is>
          <t>Horde</t>
        </is>
      </c>
      <c r="E43" t="n">
        <v>4</v>
      </c>
      <c r="F43" t="n">
        <v>4</v>
      </c>
      <c r="G43" t="n">
        <v>10</v>
      </c>
      <c r="H43" s="5" t="n">
        <v>25.844827</v>
      </c>
      <c r="I43" s="5" t="n">
        <v>15.435567</v>
      </c>
      <c r="M43">
        <f>COUNTIFS($B$5:$B$2000,B43,$C$5:$C$2000,C43)+COUNTIFS('GM Roster'!$B$5:$B$2000,B43,'GM Roster'!$C$5:$C$2000,C43)</f>
        <v/>
      </c>
      <c r="N43">
        <f>IFERROR(INDEX('Known Players'!$C$5:$C$500,MATCH(B43&amp;"|"&amp;C43,'Known Players'!$F$5:$F$500,0)),"")</f>
        <v/>
      </c>
      <c r="O43">
        <f>IFERROR(INDEX('Known Players'!$D$5:$D$500,MATCH(B43&amp;"|"&amp;C43,'Known Players'!$F$5:$F$500,0)),"")</f>
        <v/>
      </c>
      <c r="P43">
        <f>IFERROR(INDEX('Known Players'!$G$5:$G$500,MATCH(B43&amp;"|"&amp;C43,'Known Players'!$F$5:$F$500,0)),"")</f>
        <v/>
      </c>
    </row>
    <row r="44">
      <c r="A44" t="n">
        <v>50</v>
      </c>
      <c r="B44" t="inlineStr">
        <is>
          <t>Asterknight</t>
        </is>
      </c>
      <c r="C44" t="inlineStr">
        <is>
          <t>exampleworld001</t>
        </is>
      </c>
      <c r="D44" t="inlineStr">
        <is>
          <t>Horde</t>
        </is>
      </c>
      <c r="E44" t="n">
        <v>10</v>
      </c>
      <c r="F44" t="n">
        <v>4</v>
      </c>
      <c r="G44" t="n">
        <v>7</v>
      </c>
      <c r="H44" s="5" t="n">
        <v>23.296627</v>
      </c>
      <c r="I44" s="5" t="n">
        <v>10.695367</v>
      </c>
      <c r="L44" t="inlineStr">
        <is>
          <t>Synthetic example</t>
        </is>
      </c>
      <c r="M44">
        <f>COUNTIFS($B$5:$B$2000,B44,$C$5:$C$2000,C44)+COUNTIFS('GM Roster'!$B$5:$B$2000,B44,'GM Roster'!$C$5:$C$2000,C44)</f>
        <v/>
      </c>
      <c r="N44">
        <f>IFERROR(INDEX('Known Players'!$C$5:$C$500,MATCH(B44&amp;"|"&amp;C44,'Known Players'!$F$5:$F$500,0)),"")</f>
        <v/>
      </c>
      <c r="O44">
        <f>IFERROR(INDEX('Known Players'!$D$5:$D$500,MATCH(B44&amp;"|"&amp;C44,'Known Players'!$F$5:$F$500,0)),"")</f>
        <v/>
      </c>
      <c r="P44">
        <f>IFERROR(INDEX('Known Players'!$G$5:$G$500,MATCH(B44&amp;"|"&amp;C44,'Known Players'!$F$5:$F$500,0)),"")</f>
        <v/>
      </c>
    </row>
    <row r="45">
      <c r="A45" t="n">
        <v>50</v>
      </c>
      <c r="B45" t="inlineStr">
        <is>
          <t>Emberward</t>
        </is>
      </c>
      <c r="C45" t="inlineStr">
        <is>
          <t>SandboxRealm</t>
        </is>
      </c>
      <c r="D45" t="inlineStr">
        <is>
          <t>Horde</t>
        </is>
      </c>
      <c r="E45" t="n">
        <v>5</v>
      </c>
      <c r="F45" t="n">
        <v>3</v>
      </c>
      <c r="G45" t="n">
        <v>10</v>
      </c>
      <c r="H45" s="5" t="n">
        <v>38.448827</v>
      </c>
      <c r="I45" s="5" t="n">
        <v>6.119567</v>
      </c>
      <c r="M45">
        <f>COUNTIFS($B$5:$B$2000,B45,$C$5:$C$2000,C45)+COUNTIFS('GM Roster'!$B$5:$B$2000,B45,'GM Roster'!$C$5:$C$2000,C45)</f>
        <v/>
      </c>
      <c r="N45">
        <f>IFERROR(INDEX('Known Players'!$C$5:$C$500,MATCH(B45&amp;"|"&amp;C45,'Known Players'!$F$5:$F$500,0)),"")</f>
        <v/>
      </c>
      <c r="O45">
        <f>IFERROR(INDEX('Known Players'!$D$5:$D$500,MATCH(B45&amp;"|"&amp;C45,'Known Players'!$F$5:$F$500,0)),"")</f>
        <v/>
      </c>
      <c r="P45">
        <f>IFERROR(INDEX('Known Players'!$G$5:$G$500,MATCH(B45&amp;"|"&amp;C45,'Known Players'!$F$5:$F$500,0)),"")</f>
        <v/>
      </c>
    </row>
    <row r="46">
      <c r="A46" t="n">
        <v>50</v>
      </c>
      <c r="B46" t="inlineStr">
        <is>
          <t>Player0018</t>
        </is>
      </c>
      <c r="C46" t="inlineStr">
        <is>
          <t>ExampleWorld144</t>
        </is>
      </c>
      <c r="D46" t="inlineStr">
        <is>
          <t>Horde</t>
        </is>
      </c>
      <c r="E46" t="n">
        <v>7</v>
      </c>
      <c r="F46" t="n">
        <v>0</v>
      </c>
      <c r="G46" t="n">
        <v>0</v>
      </c>
      <c r="H46" s="5" t="n">
        <v>38.448827</v>
      </c>
      <c r="I46" s="5" t="n">
        <v>3.105567</v>
      </c>
      <c r="M46">
        <f>COUNTIFS($B$5:$B$2000,B46,$C$5:$C$2000,C46)+COUNTIFS('GM Roster'!$B$5:$B$2000,B46,'GM Roster'!$C$5:$C$2000,C46)</f>
        <v/>
      </c>
      <c r="N46">
        <f>IFERROR(INDEX('Known Players'!$C$5:$C$500,MATCH(B46&amp;"|"&amp;C46,'Known Players'!$F$5:$F$500,0)),"")</f>
        <v/>
      </c>
      <c r="O46">
        <f>IFERROR(INDEX('Known Players'!$D$5:$D$500,MATCH(B46&amp;"|"&amp;C46,'Known Players'!$F$5:$F$500,0)),"")</f>
        <v/>
      </c>
      <c r="P46">
        <f>IFERROR(INDEX('Known Players'!$G$5:$G$500,MATCH(B46&amp;"|"&amp;C46,'Known Players'!$F$5:$F$500,0)),"")</f>
        <v/>
      </c>
    </row>
    <row r="47">
      <c r="A47" t="n">
        <v>50</v>
      </c>
      <c r="B47" t="inlineStr">
        <is>
          <t>Player0419</t>
        </is>
      </c>
      <c r="C47" t="inlineStr">
        <is>
          <t>ExampleWorld063</t>
        </is>
      </c>
      <c r="D47" t="inlineStr">
        <is>
          <t>Horde</t>
        </is>
      </c>
      <c r="E47" t="n">
        <v>0</v>
      </c>
      <c r="F47" t="n">
        <v>9</v>
      </c>
      <c r="G47" t="n">
        <v>0</v>
      </c>
      <c r="H47" s="5" t="n">
        <v>11.596827</v>
      </c>
      <c r="I47" s="5" t="n">
        <v>2.831567</v>
      </c>
      <c r="M47">
        <f>COUNTIFS($B$5:$B$2000,B47,$C$5:$C$2000,C47)+COUNTIFS('GM Roster'!$B$5:$B$2000,B47,'GM Roster'!$C$5:$C$2000,C47)</f>
        <v/>
      </c>
      <c r="N47">
        <f>IFERROR(INDEX('Known Players'!$C$5:$C$500,MATCH(B47&amp;"|"&amp;C47,'Known Players'!$F$5:$F$500,0)),"")</f>
        <v/>
      </c>
      <c r="O47">
        <f>IFERROR(INDEX('Known Players'!$D$5:$D$500,MATCH(B47&amp;"|"&amp;C47,'Known Players'!$F$5:$F$500,0)),"")</f>
        <v/>
      </c>
      <c r="P47">
        <f>IFERROR(INDEX('Known Players'!$G$5:$G$500,MATCH(B47&amp;"|"&amp;C47,'Known Players'!$F$5:$F$500,0)),"")</f>
        <v/>
      </c>
    </row>
    <row r="48">
      <c r="A48" t="n">
        <v>50</v>
      </c>
      <c r="B48" t="inlineStr">
        <is>
          <t>Player0122</t>
        </is>
      </c>
      <c r="C48" t="inlineStr">
        <is>
          <t>ExampleWorld023</t>
        </is>
      </c>
      <c r="D48" t="inlineStr">
        <is>
          <t>Horde</t>
        </is>
      </c>
      <c r="E48" t="n">
        <v>10</v>
      </c>
      <c r="F48" t="n">
        <v>10</v>
      </c>
      <c r="G48" t="n">
        <v>10</v>
      </c>
      <c r="H48" s="5" t="n">
        <v>27.488827</v>
      </c>
      <c r="I48" s="5" t="n">
        <v>2.831567</v>
      </c>
      <c r="M48">
        <f>COUNTIFS($B$5:$B$2000,B48,$C$5:$C$2000,C48)+COUNTIFS('GM Roster'!$B$5:$B$2000,B48,'GM Roster'!$C$5:$C$2000,C48)</f>
        <v/>
      </c>
      <c r="N48">
        <f>IFERROR(INDEX('Known Players'!$C$5:$C$500,MATCH(B48&amp;"|"&amp;C48,'Known Players'!$F$5:$F$500,0)),"")</f>
        <v/>
      </c>
      <c r="O48">
        <f>IFERROR(INDEX('Known Players'!$D$5:$D$500,MATCH(B48&amp;"|"&amp;C48,'Known Players'!$F$5:$F$500,0)),"")</f>
        <v/>
      </c>
      <c r="P48">
        <f>IFERROR(INDEX('Known Players'!$G$5:$G$500,MATCH(B48&amp;"|"&amp;C48,'Known Players'!$F$5:$F$500,0)),"")</f>
        <v/>
      </c>
    </row>
    <row r="49">
      <c r="A49" t="n">
        <v>50</v>
      </c>
      <c r="B49" t="inlineStr">
        <is>
          <t>Player0915</t>
        </is>
      </c>
      <c r="C49" t="inlineStr">
        <is>
          <t>ExampleWorld084</t>
        </is>
      </c>
      <c r="D49" t="inlineStr">
        <is>
          <t>Horde</t>
        </is>
      </c>
      <c r="E49" t="n">
        <v>7</v>
      </c>
      <c r="F49" t="n">
        <v>2</v>
      </c>
      <c r="G49" t="n">
        <v>7</v>
      </c>
      <c r="H49" s="5" t="n">
        <v>30.228827</v>
      </c>
      <c r="I49" s="5" t="n">
        <v>2.719227</v>
      </c>
      <c r="M49">
        <f>COUNTIFS($B$5:$B$2000,B49,$C$5:$C$2000,C49)+COUNTIFS('GM Roster'!$B$5:$B$2000,B49,'GM Roster'!$C$5:$C$2000,C49)</f>
        <v/>
      </c>
      <c r="N49">
        <f>IFERROR(INDEX('Known Players'!$C$5:$C$500,MATCH(B49&amp;"|"&amp;C49,'Known Players'!$F$5:$F$500,0)),"")</f>
        <v/>
      </c>
      <c r="O49">
        <f>IFERROR(INDEX('Known Players'!$D$5:$D$500,MATCH(B49&amp;"|"&amp;C49,'Known Players'!$F$5:$F$500,0)),"")</f>
        <v/>
      </c>
      <c r="P49">
        <f>IFERROR(INDEX('Known Players'!$G$5:$G$500,MATCH(B49&amp;"|"&amp;C49,'Known Players'!$F$5:$F$500,0)),"")</f>
        <v/>
      </c>
    </row>
    <row r="50">
      <c r="A50" t="n">
        <v>50</v>
      </c>
      <c r="B50" t="inlineStr">
        <is>
          <t>Player0093</t>
        </is>
      </c>
      <c r="C50" t="inlineStr">
        <is>
          <t>ExampleWorld023</t>
        </is>
      </c>
      <c r="D50" t="inlineStr">
        <is>
          <t>Horde</t>
        </is>
      </c>
      <c r="E50" t="n">
        <v>0</v>
      </c>
      <c r="F50" t="n">
        <v>0</v>
      </c>
      <c r="G50" t="n">
        <v>7</v>
      </c>
      <c r="H50" s="5" t="n">
        <v>27.488827</v>
      </c>
      <c r="I50" s="5" t="n">
        <v>2.376727</v>
      </c>
      <c r="M50">
        <f>COUNTIFS($B$5:$B$2000,B50,$C$5:$C$2000,C50)+COUNTIFS('GM Roster'!$B$5:$B$2000,B50,'GM Roster'!$C$5:$C$2000,C50)</f>
        <v/>
      </c>
      <c r="N50">
        <f>IFERROR(INDEX('Known Players'!$C$5:$C$500,MATCH(B50&amp;"|"&amp;C50,'Known Players'!$F$5:$F$500,0)),"")</f>
        <v/>
      </c>
      <c r="O50">
        <f>IFERROR(INDEX('Known Players'!$D$5:$D$500,MATCH(B50&amp;"|"&amp;C50,'Known Players'!$F$5:$F$500,0)),"")</f>
        <v/>
      </c>
      <c r="P50">
        <f>IFERROR(INDEX('Known Players'!$G$5:$G$500,MATCH(B50&amp;"|"&amp;C50,'Known Players'!$F$5:$F$500,0)),"")</f>
        <v/>
      </c>
    </row>
    <row r="51">
      <c r="A51" t="n">
        <v>50</v>
      </c>
      <c r="B51" t="inlineStr">
        <is>
          <t>Player0599</t>
        </is>
      </c>
      <c r="C51" t="inlineStr">
        <is>
          <t>ExampleWorld143</t>
        </is>
      </c>
      <c r="D51" t="inlineStr">
        <is>
          <t>Horde</t>
        </is>
      </c>
      <c r="E51" t="n">
        <v>5</v>
      </c>
      <c r="F51" t="n">
        <v>1</v>
      </c>
      <c r="G51" t="n">
        <v>0</v>
      </c>
      <c r="H51" s="5" t="n">
        <v>49.408827</v>
      </c>
      <c r="I51" s="5" t="n">
        <v>2.316447</v>
      </c>
      <c r="M51">
        <f>COUNTIFS($B$5:$B$2000,B51,$C$5:$C$2000,C51)+COUNTIFS('GM Roster'!$B$5:$B$2000,B51,'GM Roster'!$C$5:$C$2000,C51)</f>
        <v/>
      </c>
      <c r="N51">
        <f>IFERROR(INDEX('Known Players'!$C$5:$C$500,MATCH(B51&amp;"|"&amp;C51,'Known Players'!$F$5:$F$500,0)),"")</f>
        <v/>
      </c>
      <c r="O51">
        <f>IFERROR(INDEX('Known Players'!$D$5:$D$500,MATCH(B51&amp;"|"&amp;C51,'Known Players'!$F$5:$F$500,0)),"")</f>
        <v/>
      </c>
      <c r="P51">
        <f>IFERROR(INDEX('Known Players'!$G$5:$G$500,MATCH(B51&amp;"|"&amp;C51,'Known Players'!$F$5:$F$500,0)),"")</f>
        <v/>
      </c>
    </row>
    <row r="52">
      <c r="A52" t="n">
        <v>50</v>
      </c>
      <c r="B52" t="inlineStr">
        <is>
          <t>Player0429</t>
        </is>
      </c>
      <c r="C52" t="inlineStr">
        <is>
          <t>ExampleWorld143</t>
        </is>
      </c>
      <c r="D52" t="inlineStr">
        <is>
          <t>Alliance</t>
        </is>
      </c>
      <c r="E52" t="n">
        <v>4</v>
      </c>
      <c r="F52" t="n">
        <v>8</v>
      </c>
      <c r="G52" t="n">
        <v>4</v>
      </c>
      <c r="H52" s="5" t="n">
        <v>2.379467</v>
      </c>
      <c r="I52" s="5" t="n">
        <v>126.131567</v>
      </c>
      <c r="M52">
        <f>COUNTIFS($B$5:$B$2000,B52,$C$5:$C$2000,C52)+COUNTIFS('GM Roster'!$B$5:$B$2000,B52,'GM Roster'!$C$5:$C$2000,C52)</f>
        <v/>
      </c>
      <c r="N52">
        <f>IFERROR(INDEX('Known Players'!$C$5:$C$500,MATCH(B52&amp;"|"&amp;C52,'Known Players'!$F$5:$F$500,0)),"")</f>
        <v/>
      </c>
      <c r="O52">
        <f>IFERROR(INDEX('Known Players'!$D$5:$D$500,MATCH(B52&amp;"|"&amp;C52,'Known Players'!$F$5:$F$500,0)),"")</f>
        <v/>
      </c>
      <c r="P52">
        <f>IFERROR(INDEX('Known Players'!$G$5:$G$500,MATCH(B52&amp;"|"&amp;C52,'Known Players'!$F$5:$F$500,0)),"")</f>
        <v/>
      </c>
    </row>
    <row r="53">
      <c r="A53" t="n">
        <v>50</v>
      </c>
      <c r="B53" t="inlineStr">
        <is>
          <t>Player0745</t>
        </is>
      </c>
      <c r="C53" t="inlineStr">
        <is>
          <t>ExampleWorld133</t>
        </is>
      </c>
      <c r="D53" t="inlineStr">
        <is>
          <t>Alliance</t>
        </is>
      </c>
      <c r="E53" t="n">
        <v>4</v>
      </c>
      <c r="F53" t="n">
        <v>6</v>
      </c>
      <c r="G53" t="n">
        <v>7</v>
      </c>
      <c r="H53" s="5" t="n">
        <v>6.938827</v>
      </c>
      <c r="I53" s="5" t="n">
        <v>90.511567</v>
      </c>
      <c r="L53" t="inlineStr">
        <is>
          <t>Synthetic example</t>
        </is>
      </c>
      <c r="M53">
        <f>COUNTIFS($B$5:$B$2000,B53,$C$5:$C$2000,C53)+COUNTIFS('GM Roster'!$B$5:$B$2000,B53,'GM Roster'!$C$5:$C$2000,C53)</f>
        <v/>
      </c>
      <c r="N53">
        <f>IFERROR(INDEX('Known Players'!$C$5:$C$500,MATCH(B53&amp;"|"&amp;C53,'Known Players'!$F$5:$F$500,0)),"")</f>
        <v/>
      </c>
      <c r="O53">
        <f>IFERROR(INDEX('Known Players'!$D$5:$D$500,MATCH(B53&amp;"|"&amp;C53,'Known Players'!$F$5:$F$500,0)),"")</f>
        <v/>
      </c>
      <c r="P53">
        <f>IFERROR(INDEX('Known Players'!$G$5:$G$500,MATCH(B53&amp;"|"&amp;C53,'Known Players'!$F$5:$F$500,0)),"")</f>
        <v/>
      </c>
    </row>
    <row r="54">
      <c r="A54" t="n">
        <v>50</v>
      </c>
      <c r="B54" t="inlineStr">
        <is>
          <t>Player0267</t>
        </is>
      </c>
      <c r="C54" t="inlineStr">
        <is>
          <t>ExampleWorld039</t>
        </is>
      </c>
      <c r="D54" t="inlineStr">
        <is>
          <t>Alliance</t>
        </is>
      </c>
      <c r="E54" t="n">
        <v>0</v>
      </c>
      <c r="F54" t="n">
        <v>5</v>
      </c>
      <c r="G54" t="n">
        <v>4</v>
      </c>
      <c r="H54" s="5" t="n">
        <v>15.158827</v>
      </c>
      <c r="I54" s="5" t="n">
        <v>87.771567</v>
      </c>
      <c r="M54">
        <f>COUNTIFS($B$5:$B$2000,B54,$C$5:$C$2000,C54)+COUNTIFS('GM Roster'!$B$5:$B$2000,B54,'GM Roster'!$C$5:$C$2000,C54)</f>
        <v/>
      </c>
      <c r="N54">
        <f>IFERROR(INDEX('Known Players'!$C$5:$C$500,MATCH(B54&amp;"|"&amp;C54,'Known Players'!$F$5:$F$500,0)),"")</f>
        <v/>
      </c>
      <c r="O54">
        <f>IFERROR(INDEX('Known Players'!$D$5:$D$500,MATCH(B54&amp;"|"&amp;C54,'Known Players'!$F$5:$F$500,0)),"")</f>
        <v/>
      </c>
      <c r="P54">
        <f>IFERROR(INDEX('Known Players'!$G$5:$G$500,MATCH(B54&amp;"|"&amp;C54,'Known Players'!$F$5:$F$500,0)),"")</f>
        <v/>
      </c>
    </row>
    <row r="55">
      <c r="A55" t="n">
        <v>50</v>
      </c>
      <c r="B55" t="inlineStr">
        <is>
          <t>Player0405</t>
        </is>
      </c>
      <c r="C55" t="inlineStr">
        <is>
          <t>ExampleWorld063</t>
        </is>
      </c>
      <c r="D55" t="inlineStr">
        <is>
          <t>Alliance</t>
        </is>
      </c>
      <c r="E55" t="n">
        <v>0</v>
      </c>
      <c r="F55" t="n">
        <v>4</v>
      </c>
      <c r="G55" t="n">
        <v>2</v>
      </c>
      <c r="H55" s="5" t="n">
        <v>38.448827</v>
      </c>
      <c r="I55" s="5" t="n">
        <v>17.627567</v>
      </c>
      <c r="M55">
        <f>COUNTIFS($B$5:$B$2000,B55,$C$5:$C$2000,C55)+COUNTIFS('GM Roster'!$B$5:$B$2000,B55,'GM Roster'!$C$5:$C$2000,C55)</f>
        <v/>
      </c>
      <c r="N55">
        <f>IFERROR(INDEX('Known Players'!$C$5:$C$500,MATCH(B55&amp;"|"&amp;C55,'Known Players'!$F$5:$F$500,0)),"")</f>
        <v/>
      </c>
      <c r="O55">
        <f>IFERROR(INDEX('Known Players'!$D$5:$D$500,MATCH(B55&amp;"|"&amp;C55,'Known Players'!$F$5:$F$500,0)),"")</f>
        <v/>
      </c>
      <c r="P55">
        <f>IFERROR(INDEX('Known Players'!$G$5:$G$500,MATCH(B55&amp;"|"&amp;C55,'Known Players'!$F$5:$F$500,0)),"")</f>
        <v/>
      </c>
    </row>
    <row r="56">
      <c r="A56" t="n">
        <v>50</v>
      </c>
      <c r="B56" t="inlineStr">
        <is>
          <t>Player0349</t>
        </is>
      </c>
      <c r="C56" t="inlineStr">
        <is>
          <t>ExampleWorld133</t>
        </is>
      </c>
      <c r="D56" t="inlineStr">
        <is>
          <t>Alliance</t>
        </is>
      </c>
      <c r="E56" t="n">
        <v>0</v>
      </c>
      <c r="F56" t="n">
        <v>1</v>
      </c>
      <c r="G56" t="n">
        <v>10</v>
      </c>
      <c r="H56" s="5" t="n">
        <v>49.408827</v>
      </c>
      <c r="I56" s="5" t="n">
        <v>15.161567</v>
      </c>
      <c r="M56">
        <f>COUNTIFS($B$5:$B$2000,B56,$C$5:$C$2000,C56)+COUNTIFS('GM Roster'!$B$5:$B$2000,B56,'GM Roster'!$C$5:$C$2000,C56)</f>
        <v/>
      </c>
      <c r="N56">
        <f>IFERROR(INDEX('Known Players'!$C$5:$C$500,MATCH(B56&amp;"|"&amp;C56,'Known Players'!$F$5:$F$500,0)),"")</f>
        <v/>
      </c>
      <c r="O56">
        <f>IFERROR(INDEX('Known Players'!$D$5:$D$500,MATCH(B56&amp;"|"&amp;C56,'Known Players'!$F$5:$F$500,0)),"")</f>
        <v/>
      </c>
      <c r="P56">
        <f>IFERROR(INDEX('Known Players'!$G$5:$G$500,MATCH(B56&amp;"|"&amp;C56,'Known Players'!$F$5:$F$500,0)),"")</f>
        <v/>
      </c>
    </row>
    <row r="57">
      <c r="A57" t="n">
        <v>50</v>
      </c>
      <c r="B57" t="inlineStr">
        <is>
          <t>Player0403</t>
        </is>
      </c>
      <c r="C57" t="inlineStr">
        <is>
          <t>ExampleWorld133</t>
        </is>
      </c>
      <c r="D57" t="inlineStr">
        <is>
          <t>Alliance</t>
        </is>
      </c>
      <c r="E57" t="n">
        <v>2</v>
      </c>
      <c r="F57" t="n">
        <v>9</v>
      </c>
      <c r="G57" t="n">
        <v>4</v>
      </c>
      <c r="H57" s="5" t="n">
        <v>41.188827</v>
      </c>
      <c r="I57" s="5" t="n">
        <v>14.887567</v>
      </c>
      <c r="M57">
        <f>COUNTIFS($B$5:$B$2000,B57,$C$5:$C$2000,C57)+COUNTIFS('GM Roster'!$B$5:$B$2000,B57,'GM Roster'!$C$5:$C$2000,C57)</f>
        <v/>
      </c>
      <c r="N57">
        <f>IFERROR(INDEX('Known Players'!$C$5:$C$500,MATCH(B57&amp;"|"&amp;C57,'Known Players'!$F$5:$F$500,0)),"")</f>
        <v/>
      </c>
      <c r="O57">
        <f>IFERROR(INDEX('Known Players'!$D$5:$D$500,MATCH(B57&amp;"|"&amp;C57,'Known Players'!$F$5:$F$500,0)),"")</f>
        <v/>
      </c>
      <c r="P57">
        <f>IFERROR(INDEX('Known Players'!$G$5:$G$500,MATCH(B57&amp;"|"&amp;C57,'Known Players'!$F$5:$F$500,0)),"")</f>
        <v/>
      </c>
    </row>
    <row r="58">
      <c r="A58" t="n">
        <v>50</v>
      </c>
      <c r="B58" t="inlineStr">
        <is>
          <t>Player0868</t>
        </is>
      </c>
      <c r="C58" t="inlineStr">
        <is>
          <t>ExampleWorld150</t>
        </is>
      </c>
      <c r="D58" t="inlineStr">
        <is>
          <t>Alliance</t>
        </is>
      </c>
      <c r="E58" t="n">
        <v>7</v>
      </c>
      <c r="F58" t="n">
        <v>9</v>
      </c>
      <c r="G58" t="n">
        <v>4</v>
      </c>
      <c r="H58" s="5" t="n">
        <v>41.188827</v>
      </c>
      <c r="I58" s="5" t="n">
        <v>11.325567</v>
      </c>
      <c r="M58">
        <f>COUNTIFS($B$5:$B$2000,B58,$C$5:$C$2000,C58)+COUNTIFS('GM Roster'!$B$5:$B$2000,B58,'GM Roster'!$C$5:$C$2000,C58)</f>
        <v/>
      </c>
      <c r="N58">
        <f>IFERROR(INDEX('Known Players'!$C$5:$C$500,MATCH(B58&amp;"|"&amp;C58,'Known Players'!$F$5:$F$500,0)),"")</f>
        <v/>
      </c>
      <c r="O58">
        <f>IFERROR(INDEX('Known Players'!$D$5:$D$500,MATCH(B58&amp;"|"&amp;C58,'Known Players'!$F$5:$F$500,0)),"")</f>
        <v/>
      </c>
      <c r="P58">
        <f>IFERROR(INDEX('Known Players'!$G$5:$G$500,MATCH(B58&amp;"|"&amp;C58,'Known Players'!$F$5:$F$500,0)),"")</f>
        <v/>
      </c>
    </row>
    <row r="59">
      <c r="A59" t="n">
        <v>50</v>
      </c>
      <c r="B59" t="inlineStr">
        <is>
          <t>Player0602</t>
        </is>
      </c>
      <c r="C59" t="inlineStr">
        <is>
          <t>ExampleWorld129</t>
        </is>
      </c>
      <c r="D59" t="inlineStr">
        <is>
          <t>Alliance</t>
        </is>
      </c>
      <c r="E59" t="n">
        <v>5</v>
      </c>
      <c r="F59" t="n">
        <v>3</v>
      </c>
      <c r="G59" t="n">
        <v>7</v>
      </c>
      <c r="H59" s="5" t="n">
        <v>25.570827</v>
      </c>
      <c r="I59" s="5" t="n">
        <v>9.407567</v>
      </c>
      <c r="M59">
        <f>COUNTIFS($B$5:$B$2000,B59,$C$5:$C$2000,C59)+COUNTIFS('GM Roster'!$B$5:$B$2000,B59,'GM Roster'!$C$5:$C$2000,C59)</f>
        <v/>
      </c>
      <c r="N59">
        <f>IFERROR(INDEX('Known Players'!$C$5:$C$500,MATCH(B59&amp;"|"&amp;C59,'Known Players'!$F$5:$F$500,0)),"")</f>
        <v/>
      </c>
      <c r="O59">
        <f>IFERROR(INDEX('Known Players'!$D$5:$D$500,MATCH(B59&amp;"|"&amp;C59,'Known Players'!$F$5:$F$500,0)),"")</f>
        <v/>
      </c>
      <c r="P59">
        <f>IFERROR(INDEX('Known Players'!$G$5:$G$500,MATCH(B59&amp;"|"&amp;C59,'Known Players'!$F$5:$F$500,0)),"")</f>
        <v/>
      </c>
    </row>
    <row r="60">
      <c r="A60" t="n">
        <v>50</v>
      </c>
      <c r="B60" t="inlineStr">
        <is>
          <t>Player0727</t>
        </is>
      </c>
      <c r="C60" t="inlineStr">
        <is>
          <t>ExampleWorld013</t>
        </is>
      </c>
      <c r="D60" t="inlineStr">
        <is>
          <t>Alliance</t>
        </is>
      </c>
      <c r="E60" t="n">
        <v>4</v>
      </c>
      <c r="F60" t="n">
        <v>0</v>
      </c>
      <c r="G60" t="n">
        <v>4</v>
      </c>
      <c r="H60" s="5" t="n">
        <v>18.172827</v>
      </c>
      <c r="I60" s="5" t="n">
        <v>9.133566999999999</v>
      </c>
      <c r="L60" t="inlineStr">
        <is>
          <t>Synthetic example</t>
        </is>
      </c>
      <c r="M60">
        <f>COUNTIFS($B$5:$B$2000,B60,$C$5:$C$2000,C60)+COUNTIFS('GM Roster'!$B$5:$B$2000,B60,'GM Roster'!$C$5:$C$2000,C60)</f>
        <v/>
      </c>
      <c r="N60">
        <f>IFERROR(INDEX('Known Players'!$C$5:$C$500,MATCH(B60&amp;"|"&amp;C60,'Known Players'!$F$5:$F$500,0)),"")</f>
        <v/>
      </c>
      <c r="O60">
        <f>IFERROR(INDEX('Known Players'!$D$5:$D$500,MATCH(B60&amp;"|"&amp;C60,'Known Players'!$F$5:$F$500,0)),"")</f>
        <v/>
      </c>
      <c r="P60">
        <f>IFERROR(INDEX('Known Players'!$G$5:$G$500,MATCH(B60&amp;"|"&amp;C60,'Known Players'!$F$5:$F$500,0)),"")</f>
        <v/>
      </c>
    </row>
    <row r="61">
      <c r="A61" t="n">
        <v>50</v>
      </c>
      <c r="B61" t="inlineStr">
        <is>
          <t>Player0218</t>
        </is>
      </c>
      <c r="C61" t="inlineStr">
        <is>
          <t>SandboxRealm</t>
        </is>
      </c>
      <c r="D61" t="inlineStr">
        <is>
          <t>Alliance</t>
        </is>
      </c>
      <c r="E61" t="n">
        <v>10</v>
      </c>
      <c r="F61" t="n">
        <v>10</v>
      </c>
      <c r="G61" t="n">
        <v>4</v>
      </c>
      <c r="H61" s="5" t="n">
        <v>41.188827</v>
      </c>
      <c r="I61" s="5" t="n">
        <v>8.585566999999999</v>
      </c>
      <c r="M61">
        <f>COUNTIFS($B$5:$B$2000,B61,$C$5:$C$2000,C61)+COUNTIFS('GM Roster'!$B$5:$B$2000,B61,'GM Roster'!$C$5:$C$2000,C61)</f>
        <v/>
      </c>
      <c r="N61">
        <f>IFERROR(INDEX('Known Players'!$C$5:$C$500,MATCH(B61&amp;"|"&amp;C61,'Known Players'!$F$5:$F$500,0)),"")</f>
        <v/>
      </c>
      <c r="O61">
        <f>IFERROR(INDEX('Known Players'!$D$5:$D$500,MATCH(B61&amp;"|"&amp;C61,'Known Players'!$F$5:$F$500,0)),"")</f>
        <v/>
      </c>
      <c r="P61">
        <f>IFERROR(INDEX('Known Players'!$G$5:$G$500,MATCH(B61&amp;"|"&amp;C61,'Known Players'!$F$5:$F$500,0)),"")</f>
        <v/>
      </c>
    </row>
    <row r="62">
      <c r="A62" t="n">
        <v>50</v>
      </c>
      <c r="B62" t="inlineStr">
        <is>
          <t>Player0843</t>
        </is>
      </c>
      <c r="C62" t="inlineStr">
        <is>
          <t>ExampleWorld133</t>
        </is>
      </c>
      <c r="D62" t="inlineStr">
        <is>
          <t>Alliance</t>
        </is>
      </c>
      <c r="E62" t="n">
        <v>7</v>
      </c>
      <c r="F62" t="n">
        <v>4</v>
      </c>
      <c r="G62" t="n">
        <v>0</v>
      </c>
      <c r="H62" s="5" t="n">
        <v>30.228827</v>
      </c>
      <c r="I62" s="5" t="n">
        <v>5.845567</v>
      </c>
      <c r="L62" t="inlineStr">
        <is>
          <t>Synthetic example</t>
        </is>
      </c>
      <c r="M62">
        <f>COUNTIFS($B$5:$B$2000,B62,$C$5:$C$2000,C62)+COUNTIFS('GM Roster'!$B$5:$B$2000,B62,'GM Roster'!$C$5:$C$2000,C62)</f>
        <v/>
      </c>
      <c r="N62">
        <f>IFERROR(INDEX('Known Players'!$C$5:$C$500,MATCH(B62&amp;"|"&amp;C62,'Known Players'!$F$5:$F$500,0)),"")</f>
        <v/>
      </c>
      <c r="O62">
        <f>IFERROR(INDEX('Known Players'!$D$5:$D$500,MATCH(B62&amp;"|"&amp;C62,'Known Players'!$F$5:$F$500,0)),"")</f>
        <v/>
      </c>
      <c r="P62">
        <f>IFERROR(INDEX('Known Players'!$G$5:$G$500,MATCH(B62&amp;"|"&amp;C62,'Known Players'!$F$5:$F$500,0)),"")</f>
        <v/>
      </c>
    </row>
    <row r="63">
      <c r="A63" t="n">
        <v>50</v>
      </c>
      <c r="B63" t="inlineStr">
        <is>
          <t>Player0886</t>
        </is>
      </c>
      <c r="C63" t="inlineStr">
        <is>
          <t>ExampleWorld164</t>
        </is>
      </c>
      <c r="D63" t="inlineStr">
        <is>
          <t>Alliance</t>
        </is>
      </c>
      <c r="E63" t="n">
        <v>3</v>
      </c>
      <c r="F63" t="n">
        <v>6</v>
      </c>
      <c r="G63" t="n">
        <v>8</v>
      </c>
      <c r="H63" s="5" t="n">
        <v>43.928827</v>
      </c>
      <c r="I63" s="5" t="n">
        <v>5.571567</v>
      </c>
      <c r="M63">
        <f>COUNTIFS($B$5:$B$2000,B63,$C$5:$C$2000,C63)+COUNTIFS('GM Roster'!$B$5:$B$2000,B63,'GM Roster'!$C$5:$C$2000,C63)</f>
        <v/>
      </c>
      <c r="N63">
        <f>IFERROR(INDEX('Known Players'!$C$5:$C$500,MATCH(B63&amp;"|"&amp;C63,'Known Players'!$F$5:$F$500,0)),"")</f>
        <v/>
      </c>
      <c r="O63">
        <f>IFERROR(INDEX('Known Players'!$D$5:$D$500,MATCH(B63&amp;"|"&amp;C63,'Known Players'!$F$5:$F$500,0)),"")</f>
        <v/>
      </c>
      <c r="P63">
        <f>IFERROR(INDEX('Known Players'!$G$5:$G$500,MATCH(B63&amp;"|"&amp;C63,'Known Players'!$F$5:$F$500,0)),"")</f>
        <v/>
      </c>
    </row>
    <row r="64">
      <c r="A64" t="n">
        <v>50</v>
      </c>
      <c r="B64" t="inlineStr">
        <is>
          <t>Player0518</t>
        </is>
      </c>
      <c r="C64" t="inlineStr">
        <is>
          <t>ExampleWorld117</t>
        </is>
      </c>
      <c r="D64" t="inlineStr">
        <is>
          <t>Alliance</t>
        </is>
      </c>
      <c r="E64" t="n">
        <v>0</v>
      </c>
      <c r="F64" t="n">
        <v>2</v>
      </c>
      <c r="G64" t="n">
        <v>7</v>
      </c>
      <c r="H64" s="5" t="n">
        <v>2.828827</v>
      </c>
      <c r="I64" s="5" t="n">
        <v>5.297567</v>
      </c>
      <c r="L64" t="inlineStr">
        <is>
          <t>Synthetic example</t>
        </is>
      </c>
      <c r="M64">
        <f>COUNTIFS($B$5:$B$2000,B64,$C$5:$C$2000,C64)+COUNTIFS('GM Roster'!$B$5:$B$2000,B64,'GM Roster'!$C$5:$C$2000,C64)</f>
        <v/>
      </c>
      <c r="N64">
        <f>IFERROR(INDEX('Known Players'!$C$5:$C$500,MATCH(B64&amp;"|"&amp;C64,'Known Players'!$F$5:$F$500,0)),"")</f>
        <v/>
      </c>
      <c r="O64">
        <f>IFERROR(INDEX('Known Players'!$D$5:$D$500,MATCH(B64&amp;"|"&amp;C64,'Known Players'!$F$5:$F$500,0)),"")</f>
        <v/>
      </c>
      <c r="P64">
        <f>IFERROR(INDEX('Known Players'!$G$5:$G$500,MATCH(B64&amp;"|"&amp;C64,'Known Players'!$F$5:$F$500,0)),"")</f>
        <v/>
      </c>
    </row>
    <row r="65">
      <c r="A65" t="n">
        <v>50</v>
      </c>
      <c r="B65" t="inlineStr">
        <is>
          <t>Player0118</t>
        </is>
      </c>
      <c r="C65" t="inlineStr">
        <is>
          <t>ExampleWorld155</t>
        </is>
      </c>
      <c r="D65" t="inlineStr">
        <is>
          <t>Alliance</t>
        </is>
      </c>
      <c r="E65" t="n">
        <v>5</v>
      </c>
      <c r="F65" t="n">
        <v>2</v>
      </c>
      <c r="G65" t="n">
        <v>4</v>
      </c>
      <c r="H65" s="5" t="n">
        <v>65.848827</v>
      </c>
      <c r="I65" s="5" t="n">
        <v>5.023567</v>
      </c>
      <c r="L65" t="inlineStr">
        <is>
          <t>Synthetic example</t>
        </is>
      </c>
      <c r="M65">
        <f>COUNTIFS($B$5:$B$2000,B65,$C$5:$C$2000,C65)+COUNTIFS('GM Roster'!$B$5:$B$2000,B65,'GM Roster'!$C$5:$C$2000,C65)</f>
        <v/>
      </c>
      <c r="N65">
        <f>IFERROR(INDEX('Known Players'!$C$5:$C$500,MATCH(B65&amp;"|"&amp;C65,'Known Players'!$F$5:$F$500,0)),"")</f>
        <v/>
      </c>
      <c r="O65">
        <f>IFERROR(INDEX('Known Players'!$D$5:$D$500,MATCH(B65&amp;"|"&amp;C65,'Known Players'!$F$5:$F$500,0)),"")</f>
        <v/>
      </c>
      <c r="P65">
        <f>IFERROR(INDEX('Known Players'!$G$5:$G$500,MATCH(B65&amp;"|"&amp;C65,'Known Players'!$F$5:$F$500,0)),"")</f>
        <v/>
      </c>
    </row>
    <row r="66">
      <c r="A66" t="n">
        <v>50</v>
      </c>
      <c r="B66" t="inlineStr">
        <is>
          <t>Player0254</t>
        </is>
      </c>
      <c r="C66" t="inlineStr">
        <is>
          <t>ExampleWorld040</t>
        </is>
      </c>
      <c r="D66" t="inlineStr">
        <is>
          <t>Alliance</t>
        </is>
      </c>
      <c r="E66" t="n">
        <v>7</v>
      </c>
      <c r="F66" t="n">
        <v>8</v>
      </c>
      <c r="G66" t="n">
        <v>10</v>
      </c>
      <c r="H66" s="5" t="n">
        <v>15.706827</v>
      </c>
      <c r="I66" s="5" t="n">
        <v>2.401387</v>
      </c>
      <c r="M66">
        <f>COUNTIFS($B$5:$B$2000,B66,$C$5:$C$2000,C66)+COUNTIFS('GM Roster'!$B$5:$B$2000,B66,'GM Roster'!$C$5:$C$2000,C66)</f>
        <v/>
      </c>
      <c r="N66">
        <f>IFERROR(INDEX('Known Players'!$C$5:$C$500,MATCH(B66&amp;"|"&amp;C66,'Known Players'!$F$5:$F$500,0)),"")</f>
        <v/>
      </c>
      <c r="O66">
        <f>IFERROR(INDEX('Known Players'!$D$5:$D$500,MATCH(B66&amp;"|"&amp;C66,'Known Players'!$F$5:$F$500,0)),"")</f>
        <v/>
      </c>
      <c r="P66">
        <f>IFERROR(INDEX('Known Players'!$G$5:$G$500,MATCH(B66&amp;"|"&amp;C66,'Known Players'!$F$5:$F$500,0)),"")</f>
        <v/>
      </c>
    </row>
    <row r="67">
      <c r="A67" t="n">
        <v>51</v>
      </c>
      <c r="B67" t="inlineStr">
        <is>
          <t>Player0654</t>
        </is>
      </c>
      <c r="C67" t="inlineStr">
        <is>
          <t>ExampleWorld105</t>
        </is>
      </c>
      <c r="D67" t="inlineStr">
        <is>
          <t>Horde</t>
        </is>
      </c>
      <c r="E67" t="n">
        <v>5</v>
      </c>
      <c r="F67" t="n">
        <v>5</v>
      </c>
      <c r="G67" t="n">
        <v>7</v>
      </c>
      <c r="H67" s="5" t="n">
        <v>115.168827</v>
      </c>
      <c r="I67" s="5" t="n">
        <v>8.859567</v>
      </c>
      <c r="M67">
        <f>COUNTIFS($B$5:$B$2000,B67,$C$5:$C$2000,C67)+COUNTIFS('GM Roster'!$B$5:$B$2000,B67,'GM Roster'!$C$5:$C$2000,C67)</f>
        <v/>
      </c>
      <c r="N67">
        <f>IFERROR(INDEX('Known Players'!$C$5:$C$500,MATCH(B67&amp;"|"&amp;C67,'Known Players'!$F$5:$F$500,0)),"")</f>
        <v/>
      </c>
      <c r="O67">
        <f>IFERROR(INDEX('Known Players'!$D$5:$D$500,MATCH(B67&amp;"|"&amp;C67,'Known Players'!$F$5:$F$500,0)),"")</f>
        <v/>
      </c>
      <c r="P67">
        <f>IFERROR(INDEX('Known Players'!$G$5:$G$500,MATCH(B67&amp;"|"&amp;C67,'Known Players'!$F$5:$F$500,0)),"")</f>
        <v/>
      </c>
    </row>
    <row r="68">
      <c r="A68" t="n">
        <v>51</v>
      </c>
      <c r="B68" t="inlineStr">
        <is>
          <t>Emberguard</t>
        </is>
      </c>
      <c r="C68" t="inlineStr">
        <is>
          <t>SandboxRealm</t>
        </is>
      </c>
      <c r="D68" t="inlineStr">
        <is>
          <t>Horde</t>
        </is>
      </c>
      <c r="E68" t="n">
        <v>2</v>
      </c>
      <c r="F68" t="n">
        <v>5</v>
      </c>
      <c r="G68" t="n">
        <v>7</v>
      </c>
      <c r="H68" s="5" t="n">
        <v>82.288827</v>
      </c>
      <c r="I68" s="5" t="n">
        <v>11.325567</v>
      </c>
      <c r="L68" t="inlineStr">
        <is>
          <t>Synthetic example</t>
        </is>
      </c>
      <c r="M68">
        <f>COUNTIFS($B$5:$B$2000,B68,$C$5:$C$2000,C68)+COUNTIFS('GM Roster'!$B$5:$B$2000,B68,'GM Roster'!$C$5:$C$2000,C68)</f>
        <v/>
      </c>
      <c r="N68">
        <f>IFERROR(INDEX('Known Players'!$C$5:$C$500,MATCH(B68&amp;"|"&amp;C68,'Known Players'!$F$5:$F$500,0)),"")</f>
        <v/>
      </c>
      <c r="O68">
        <f>IFERROR(INDEX('Known Players'!$D$5:$D$500,MATCH(B68&amp;"|"&amp;C68,'Known Players'!$F$5:$F$500,0)),"")</f>
        <v/>
      </c>
      <c r="P68">
        <f>IFERROR(INDEX('Known Players'!$G$5:$G$500,MATCH(B68&amp;"|"&amp;C68,'Known Players'!$F$5:$F$500,0)),"")</f>
        <v/>
      </c>
    </row>
    <row r="69">
      <c r="A69" t="n">
        <v>51</v>
      </c>
      <c r="B69" t="inlineStr">
        <is>
          <t>Player0065</t>
        </is>
      </c>
      <c r="C69" t="inlineStr">
        <is>
          <t>PracticeRealm</t>
        </is>
      </c>
      <c r="D69" t="inlineStr">
        <is>
          <t>Horde</t>
        </is>
      </c>
      <c r="E69" t="n">
        <v>0</v>
      </c>
      <c r="F69" t="n">
        <v>8</v>
      </c>
      <c r="G69" t="n">
        <v>2</v>
      </c>
      <c r="H69" s="5" t="n">
        <v>79.548827</v>
      </c>
      <c r="I69" s="5" t="n">
        <v>10.503567</v>
      </c>
      <c r="M69">
        <f>COUNTIFS($B$5:$B$2000,B69,$C$5:$C$2000,C69)+COUNTIFS('GM Roster'!$B$5:$B$2000,B69,'GM Roster'!$C$5:$C$2000,C69)</f>
        <v/>
      </c>
      <c r="N69">
        <f>IFERROR(INDEX('Known Players'!$C$5:$C$500,MATCH(B69&amp;"|"&amp;C69,'Known Players'!$F$5:$F$500,0)),"")</f>
        <v/>
      </c>
      <c r="O69">
        <f>IFERROR(INDEX('Known Players'!$D$5:$D$500,MATCH(B69&amp;"|"&amp;C69,'Known Players'!$F$5:$F$500,0)),"")</f>
        <v/>
      </c>
      <c r="P69">
        <f>IFERROR(INDEX('Known Players'!$G$5:$G$500,MATCH(B69&amp;"|"&amp;C69,'Known Players'!$F$5:$F$500,0)),"")</f>
        <v/>
      </c>
    </row>
    <row r="70">
      <c r="A70" t="n">
        <v>51</v>
      </c>
      <c r="B70" t="inlineStr">
        <is>
          <t>Player0546</t>
        </is>
      </c>
      <c r="C70" t="inlineStr">
        <is>
          <t>ExampleWorld111</t>
        </is>
      </c>
      <c r="D70" t="inlineStr">
        <is>
          <t>Horde</t>
        </is>
      </c>
      <c r="E70" t="n">
        <v>5</v>
      </c>
      <c r="F70" t="n">
        <v>3</v>
      </c>
      <c r="G70" t="n">
        <v>10</v>
      </c>
      <c r="H70" s="5" t="n">
        <v>46.668827</v>
      </c>
      <c r="I70" s="5" t="n">
        <v>2.831567</v>
      </c>
      <c r="M70">
        <f>COUNTIFS($B$5:$B$2000,B70,$C$5:$C$2000,C70)+COUNTIFS('GM Roster'!$B$5:$B$2000,B70,'GM Roster'!$C$5:$C$2000,C70)</f>
        <v/>
      </c>
      <c r="N70">
        <f>IFERROR(INDEX('Known Players'!$C$5:$C$500,MATCH(B70&amp;"|"&amp;C70,'Known Players'!$F$5:$F$500,0)),"")</f>
        <v/>
      </c>
      <c r="O70">
        <f>IFERROR(INDEX('Known Players'!$D$5:$D$500,MATCH(B70&amp;"|"&amp;C70,'Known Players'!$F$5:$F$500,0)),"")</f>
        <v/>
      </c>
      <c r="P70">
        <f>IFERROR(INDEX('Known Players'!$G$5:$G$500,MATCH(B70&amp;"|"&amp;C70,'Known Players'!$F$5:$F$500,0)),"")</f>
        <v/>
      </c>
    </row>
    <row r="71">
      <c r="A71" t="n">
        <v>51</v>
      </c>
      <c r="B71" t="inlineStr">
        <is>
          <t>Asterknight</t>
        </is>
      </c>
      <c r="C71" t="inlineStr">
        <is>
          <t>exampleworld001</t>
        </is>
      </c>
      <c r="D71" t="inlineStr">
        <is>
          <t>Horde</t>
        </is>
      </c>
      <c r="E71" t="n">
        <v>10</v>
      </c>
      <c r="F71" t="n">
        <v>10</v>
      </c>
      <c r="G71" t="n">
        <v>10</v>
      </c>
      <c r="H71" s="5" t="n">
        <v>45.901627</v>
      </c>
      <c r="I71" s="5" t="n">
        <v>13.627167</v>
      </c>
      <c r="L71" t="inlineStr">
        <is>
          <t>Synthetic example</t>
        </is>
      </c>
      <c r="M71">
        <f>COUNTIFS($B$5:$B$2000,B71,$C$5:$C$2000,C71)+COUNTIFS('GM Roster'!$B$5:$B$2000,B71,'GM Roster'!$C$5:$C$2000,C71)</f>
        <v/>
      </c>
      <c r="N71">
        <f>IFERROR(INDEX('Known Players'!$C$5:$C$500,MATCH(B71&amp;"|"&amp;C71,'Known Players'!$F$5:$F$500,0)),"")</f>
        <v/>
      </c>
      <c r="O71">
        <f>IFERROR(INDEX('Known Players'!$D$5:$D$500,MATCH(B71&amp;"|"&amp;C71,'Known Players'!$F$5:$F$500,0)),"")</f>
        <v/>
      </c>
      <c r="P71">
        <f>IFERROR(INDEX('Known Players'!$G$5:$G$500,MATCH(B71&amp;"|"&amp;C71,'Known Players'!$F$5:$F$500,0)),"")</f>
        <v/>
      </c>
    </row>
    <row r="72">
      <c r="A72" t="n">
        <v>51</v>
      </c>
      <c r="B72" t="inlineStr">
        <is>
          <t>Player0129</t>
        </is>
      </c>
      <c r="C72" t="inlineStr">
        <is>
          <t>ExampleWorld023</t>
        </is>
      </c>
      <c r="D72" t="inlineStr">
        <is>
          <t>Horde</t>
        </is>
      </c>
      <c r="E72" t="n">
        <v>4</v>
      </c>
      <c r="F72" t="n">
        <v>1</v>
      </c>
      <c r="G72" t="n">
        <v>0</v>
      </c>
      <c r="H72" s="5" t="n">
        <v>32.968827</v>
      </c>
      <c r="I72" s="5" t="n">
        <v>15.161567</v>
      </c>
      <c r="L72" t="inlineStr">
        <is>
          <t>Synthetic example</t>
        </is>
      </c>
      <c r="M72">
        <f>COUNTIFS($B$5:$B$2000,B72,$C$5:$C$2000,C72)+COUNTIFS('GM Roster'!$B$5:$B$2000,B72,'GM Roster'!$C$5:$C$2000,C72)</f>
        <v/>
      </c>
      <c r="N72">
        <f>IFERROR(INDEX('Known Players'!$C$5:$C$500,MATCH(B72&amp;"|"&amp;C72,'Known Players'!$F$5:$F$500,0)),"")</f>
        <v/>
      </c>
      <c r="O72">
        <f>IFERROR(INDEX('Known Players'!$D$5:$D$500,MATCH(B72&amp;"|"&amp;C72,'Known Players'!$F$5:$F$500,0)),"")</f>
        <v/>
      </c>
      <c r="P72">
        <f>IFERROR(INDEX('Known Players'!$G$5:$G$500,MATCH(B72&amp;"|"&amp;C72,'Known Players'!$F$5:$F$500,0)),"")</f>
        <v/>
      </c>
    </row>
    <row r="73">
      <c r="A73" t="n">
        <v>51</v>
      </c>
      <c r="B73" t="inlineStr">
        <is>
          <t>Player0606</t>
        </is>
      </c>
      <c r="C73" t="inlineStr">
        <is>
          <t>ExampleWorld091</t>
        </is>
      </c>
      <c r="D73" t="inlineStr">
        <is>
          <t>Horde</t>
        </is>
      </c>
      <c r="E73" t="n">
        <v>7</v>
      </c>
      <c r="F73" t="n">
        <v>4</v>
      </c>
      <c r="G73" t="n">
        <v>10</v>
      </c>
      <c r="H73" s="5" t="n">
        <v>27.488827</v>
      </c>
      <c r="I73" s="5" t="n">
        <v>13.243567</v>
      </c>
      <c r="M73">
        <f>COUNTIFS($B$5:$B$2000,B73,$C$5:$C$2000,C73)+COUNTIFS('GM Roster'!$B$5:$B$2000,B73,'GM Roster'!$C$5:$C$2000,C73)</f>
        <v/>
      </c>
      <c r="N73">
        <f>IFERROR(INDEX('Known Players'!$C$5:$C$500,MATCH(B73&amp;"|"&amp;C73,'Known Players'!$F$5:$F$500,0)),"")</f>
        <v/>
      </c>
      <c r="O73">
        <f>IFERROR(INDEX('Known Players'!$D$5:$D$500,MATCH(B73&amp;"|"&amp;C73,'Known Players'!$F$5:$F$500,0)),"")</f>
        <v/>
      </c>
      <c r="P73">
        <f>IFERROR(INDEX('Known Players'!$G$5:$G$500,MATCH(B73&amp;"|"&amp;C73,'Known Players'!$F$5:$F$500,0)),"")</f>
        <v/>
      </c>
    </row>
    <row r="74">
      <c r="A74" t="n">
        <v>51</v>
      </c>
      <c r="B74" t="inlineStr">
        <is>
          <t>Player0941</t>
        </is>
      </c>
      <c r="C74" t="inlineStr">
        <is>
          <t>ExampleWorld188</t>
        </is>
      </c>
      <c r="D74" t="inlineStr">
        <is>
          <t>Horde</t>
        </is>
      </c>
      <c r="E74" t="n">
        <v>7</v>
      </c>
      <c r="F74" t="n">
        <v>7</v>
      </c>
      <c r="G74" t="n">
        <v>7</v>
      </c>
      <c r="H74" s="5" t="n">
        <v>27.488827</v>
      </c>
      <c r="I74" s="5" t="n">
        <v>169.971567</v>
      </c>
      <c r="M74">
        <f>COUNTIFS($B$5:$B$2000,B74,$C$5:$C$2000,C74)+COUNTIFS('GM Roster'!$B$5:$B$2000,B74,'GM Roster'!$C$5:$C$2000,C74)</f>
        <v/>
      </c>
      <c r="N74">
        <f>IFERROR(INDEX('Known Players'!$C$5:$C$500,MATCH(B74&amp;"|"&amp;C74,'Known Players'!$F$5:$F$500,0)),"")</f>
        <v/>
      </c>
      <c r="O74">
        <f>IFERROR(INDEX('Known Players'!$D$5:$D$500,MATCH(B74&amp;"|"&amp;C74,'Known Players'!$F$5:$F$500,0)),"")</f>
        <v/>
      </c>
      <c r="P74">
        <f>IFERROR(INDEX('Known Players'!$G$5:$G$500,MATCH(B74&amp;"|"&amp;C74,'Known Players'!$F$5:$F$500,0)),"")</f>
        <v/>
      </c>
    </row>
    <row r="75">
      <c r="A75" t="n">
        <v>51</v>
      </c>
      <c r="B75" t="inlineStr">
        <is>
          <t>Player0786</t>
        </is>
      </c>
      <c r="C75" t="inlineStr">
        <is>
          <t>ExampleWorld156</t>
        </is>
      </c>
      <c r="D75" t="inlineStr">
        <is>
          <t>Horde</t>
        </is>
      </c>
      <c r="E75" t="n">
        <v>7</v>
      </c>
      <c r="F75" t="n">
        <v>4</v>
      </c>
      <c r="G75" t="n">
        <v>0</v>
      </c>
      <c r="H75" s="5" t="n">
        <v>24.474827</v>
      </c>
      <c r="I75" s="5" t="n">
        <v>5.571567</v>
      </c>
      <c r="M75">
        <f>COUNTIFS($B$5:$B$2000,B75,$C$5:$C$2000,C75)+COUNTIFS('GM Roster'!$B$5:$B$2000,B75,'GM Roster'!$C$5:$C$2000,C75)</f>
        <v/>
      </c>
      <c r="N75">
        <f>IFERROR(INDEX('Known Players'!$C$5:$C$500,MATCH(B75&amp;"|"&amp;C75,'Known Players'!$F$5:$F$500,0)),"")</f>
        <v/>
      </c>
      <c r="O75">
        <f>IFERROR(INDEX('Known Players'!$D$5:$D$500,MATCH(B75&amp;"|"&amp;C75,'Known Players'!$F$5:$F$500,0)),"")</f>
        <v/>
      </c>
      <c r="P75">
        <f>IFERROR(INDEX('Known Players'!$G$5:$G$500,MATCH(B75&amp;"|"&amp;C75,'Known Players'!$F$5:$F$500,0)),"")</f>
        <v/>
      </c>
    </row>
    <row r="76">
      <c r="A76" t="n">
        <v>51</v>
      </c>
      <c r="B76" t="inlineStr">
        <is>
          <t>Player0026</t>
        </is>
      </c>
      <c r="C76" t="inlineStr">
        <is>
          <t>ExampleWorld179</t>
        </is>
      </c>
      <c r="D76" t="inlineStr">
        <is>
          <t>Horde</t>
        </is>
      </c>
      <c r="E76" t="n">
        <v>0</v>
      </c>
      <c r="F76" t="n">
        <v>10</v>
      </c>
      <c r="G76" t="n">
        <v>0</v>
      </c>
      <c r="H76" s="5" t="n">
        <v>23.104827</v>
      </c>
      <c r="I76" s="5" t="n">
        <v>115.171567</v>
      </c>
      <c r="M76">
        <f>COUNTIFS($B$5:$B$2000,B76,$C$5:$C$2000,C76)+COUNTIFS('GM Roster'!$B$5:$B$2000,B76,'GM Roster'!$C$5:$C$2000,C76)</f>
        <v/>
      </c>
      <c r="N76">
        <f>IFERROR(INDEX('Known Players'!$C$5:$C$500,MATCH(B76&amp;"|"&amp;C76,'Known Players'!$F$5:$F$500,0)),"")</f>
        <v/>
      </c>
      <c r="O76">
        <f>IFERROR(INDEX('Known Players'!$D$5:$D$500,MATCH(B76&amp;"|"&amp;C76,'Known Players'!$F$5:$F$500,0)),"")</f>
        <v/>
      </c>
      <c r="P76">
        <f>IFERROR(INDEX('Known Players'!$G$5:$G$500,MATCH(B76&amp;"|"&amp;C76,'Known Players'!$F$5:$F$500,0)),"")</f>
        <v/>
      </c>
    </row>
    <row r="77">
      <c r="A77" t="n">
        <v>51</v>
      </c>
      <c r="B77" t="inlineStr">
        <is>
          <t>Player0900</t>
        </is>
      </c>
      <c r="C77" t="inlineStr">
        <is>
          <t>exampleworld000</t>
        </is>
      </c>
      <c r="D77" t="inlineStr">
        <is>
          <t>Horde</t>
        </is>
      </c>
      <c r="E77" t="n">
        <v>4</v>
      </c>
      <c r="F77" t="n">
        <v>4</v>
      </c>
      <c r="G77" t="n">
        <v>2</v>
      </c>
      <c r="H77" s="5" t="n">
        <v>21.186827</v>
      </c>
      <c r="I77" s="5" t="n">
        <v>6.941567</v>
      </c>
      <c r="K77" t="inlineStr">
        <is>
          <t>Realm not shown (same realm as you)</t>
        </is>
      </c>
      <c r="L77" t="inlineStr">
        <is>
          <t>Synthetic example</t>
        </is>
      </c>
      <c r="M77">
        <f>COUNTIFS($B$5:$B$2000,B77,$C$5:$C$2000,C77)+COUNTIFS('GM Roster'!$B$5:$B$2000,B77,'GM Roster'!$C$5:$C$2000,C77)</f>
        <v/>
      </c>
      <c r="N77">
        <f>IFERROR(INDEX('Known Players'!$C$5:$C$500,MATCH(B77&amp;"|"&amp;C77,'Known Players'!$F$5:$F$500,0)),"")</f>
        <v/>
      </c>
      <c r="O77">
        <f>IFERROR(INDEX('Known Players'!$D$5:$D$500,MATCH(B77&amp;"|"&amp;C77,'Known Players'!$F$5:$F$500,0)),"")</f>
        <v/>
      </c>
      <c r="P77">
        <f>IFERROR(INDEX('Known Players'!$G$5:$G$500,MATCH(B77&amp;"|"&amp;C77,'Known Players'!$F$5:$F$500,0)),"")</f>
        <v/>
      </c>
    </row>
    <row r="78">
      <c r="A78" t="n">
        <v>51</v>
      </c>
      <c r="B78" t="inlineStr">
        <is>
          <t>Player0364</t>
        </is>
      </c>
      <c r="C78" t="inlineStr">
        <is>
          <t>ExampleWorld196</t>
        </is>
      </c>
      <c r="D78" t="inlineStr">
        <is>
          <t>Horde</t>
        </is>
      </c>
      <c r="E78" t="n">
        <v>2</v>
      </c>
      <c r="F78" t="n">
        <v>5</v>
      </c>
      <c r="G78" t="n">
        <v>2</v>
      </c>
      <c r="H78" s="5" t="n">
        <v>17.898827</v>
      </c>
      <c r="I78" s="5" t="n">
        <v>5.571567</v>
      </c>
      <c r="M78">
        <f>COUNTIFS($B$5:$B$2000,B78,$C$5:$C$2000,C78)+COUNTIFS('GM Roster'!$B$5:$B$2000,B78,'GM Roster'!$C$5:$C$2000,C78)</f>
        <v/>
      </c>
      <c r="N78">
        <f>IFERROR(INDEX('Known Players'!$C$5:$C$500,MATCH(B78&amp;"|"&amp;C78,'Known Players'!$F$5:$F$500,0)),"")</f>
        <v/>
      </c>
      <c r="O78">
        <f>IFERROR(INDEX('Known Players'!$D$5:$D$500,MATCH(B78&amp;"|"&amp;C78,'Known Players'!$F$5:$F$500,0)),"")</f>
        <v/>
      </c>
      <c r="P78">
        <f>IFERROR(INDEX('Known Players'!$G$5:$G$500,MATCH(B78&amp;"|"&amp;C78,'Known Players'!$F$5:$F$500,0)),"")</f>
        <v/>
      </c>
    </row>
    <row r="79">
      <c r="A79" t="n">
        <v>51</v>
      </c>
      <c r="B79" t="inlineStr">
        <is>
          <t>Player0398</t>
        </is>
      </c>
      <c r="C79" t="inlineStr">
        <is>
          <t>ExampleWorld196</t>
        </is>
      </c>
      <c r="D79" t="inlineStr">
        <is>
          <t>Horde</t>
        </is>
      </c>
      <c r="E79" t="n">
        <v>0</v>
      </c>
      <c r="F79" t="n">
        <v>8</v>
      </c>
      <c r="G79" t="n">
        <v>4</v>
      </c>
      <c r="H79" s="5" t="n">
        <v>12.418827</v>
      </c>
      <c r="I79" s="5" t="n">
        <v>2.831567</v>
      </c>
      <c r="M79">
        <f>COUNTIFS($B$5:$B$2000,B79,$C$5:$C$2000,C79)+COUNTIFS('GM Roster'!$B$5:$B$2000,B79,'GM Roster'!$C$5:$C$2000,C79)</f>
        <v/>
      </c>
      <c r="N79">
        <f>IFERROR(INDEX('Known Players'!$C$5:$C$500,MATCH(B79&amp;"|"&amp;C79,'Known Players'!$F$5:$F$500,0)),"")</f>
        <v/>
      </c>
      <c r="O79">
        <f>IFERROR(INDEX('Known Players'!$D$5:$D$500,MATCH(B79&amp;"|"&amp;C79,'Known Players'!$F$5:$F$500,0)),"")</f>
        <v/>
      </c>
      <c r="P79">
        <f>IFERROR(INDEX('Known Players'!$G$5:$G$500,MATCH(B79&amp;"|"&amp;C79,'Known Players'!$F$5:$F$500,0)),"")</f>
        <v/>
      </c>
    </row>
    <row r="80">
      <c r="A80" t="n">
        <v>51</v>
      </c>
      <c r="B80" t="inlineStr">
        <is>
          <t>Player0643</t>
        </is>
      </c>
      <c r="C80" t="inlineStr">
        <is>
          <t>ExampleWorld150</t>
        </is>
      </c>
      <c r="D80" t="inlineStr">
        <is>
          <t>Horde</t>
        </is>
      </c>
      <c r="E80" t="n">
        <v>0</v>
      </c>
      <c r="F80" t="n">
        <v>7</v>
      </c>
      <c r="G80" t="n">
        <v>7</v>
      </c>
      <c r="H80" s="5" t="n">
        <v>4.198827</v>
      </c>
      <c r="I80" s="5" t="n">
        <v>142.571567</v>
      </c>
      <c r="M80">
        <f>COUNTIFS($B$5:$B$2000,B80,$C$5:$C$2000,C80)+COUNTIFS('GM Roster'!$B$5:$B$2000,B80,'GM Roster'!$C$5:$C$2000,C80)</f>
        <v/>
      </c>
      <c r="N80">
        <f>IFERROR(INDEX('Known Players'!$C$5:$C$500,MATCH(B80&amp;"|"&amp;C80,'Known Players'!$F$5:$F$500,0)),"")</f>
        <v/>
      </c>
      <c r="O80">
        <f>IFERROR(INDEX('Known Players'!$D$5:$D$500,MATCH(B80&amp;"|"&amp;C80,'Known Players'!$F$5:$F$500,0)),"")</f>
        <v/>
      </c>
      <c r="P80">
        <f>IFERROR(INDEX('Known Players'!$G$5:$G$500,MATCH(B80&amp;"|"&amp;C80,'Known Players'!$F$5:$F$500,0)),"")</f>
        <v/>
      </c>
    </row>
    <row r="81">
      <c r="A81" t="n">
        <v>51</v>
      </c>
      <c r="B81" t="inlineStr">
        <is>
          <t>Player0733</t>
        </is>
      </c>
      <c r="C81" t="inlineStr">
        <is>
          <t>ExampleWorld109</t>
        </is>
      </c>
      <c r="D81" t="inlineStr">
        <is>
          <t>Horde</t>
        </is>
      </c>
      <c r="E81" t="n">
        <v>4</v>
      </c>
      <c r="F81" t="n">
        <v>5</v>
      </c>
      <c r="G81" t="n">
        <v>4</v>
      </c>
      <c r="H81" s="5" t="n">
        <v>0.494347</v>
      </c>
      <c r="I81" s="5" t="n">
        <v>1.856127</v>
      </c>
      <c r="M81">
        <f>COUNTIFS($B$5:$B$2000,B81,$C$5:$C$2000,C81)+COUNTIFS('GM Roster'!$B$5:$B$2000,B81,'GM Roster'!$C$5:$C$2000,C81)</f>
        <v/>
      </c>
      <c r="N81">
        <f>IFERROR(INDEX('Known Players'!$C$5:$C$500,MATCH(B81&amp;"|"&amp;C81,'Known Players'!$F$5:$F$500,0)),"")</f>
        <v/>
      </c>
      <c r="O81">
        <f>IFERROR(INDEX('Known Players'!$D$5:$D$500,MATCH(B81&amp;"|"&amp;C81,'Known Players'!$F$5:$F$500,0)),"")</f>
        <v/>
      </c>
      <c r="P81">
        <f>IFERROR(INDEX('Known Players'!$G$5:$G$500,MATCH(B81&amp;"|"&amp;C81,'Known Players'!$F$5:$F$500,0)),"")</f>
        <v/>
      </c>
    </row>
    <row r="82">
      <c r="A82" t="n">
        <v>51</v>
      </c>
      <c r="B82" t="inlineStr">
        <is>
          <t>Player0717</t>
        </is>
      </c>
      <c r="C82" t="inlineStr">
        <is>
          <t>ExampleWorld176</t>
        </is>
      </c>
      <c r="D82" t="inlineStr">
        <is>
          <t>Alliance</t>
        </is>
      </c>
      <c r="E82" t="n">
        <v>5</v>
      </c>
      <c r="F82" t="n">
        <v>8</v>
      </c>
      <c r="G82" t="n">
        <v>5</v>
      </c>
      <c r="H82" s="5" t="n">
        <v>71.328827</v>
      </c>
      <c r="I82" s="5" t="n">
        <v>19.545567</v>
      </c>
      <c r="M82">
        <f>COUNTIFS($B$5:$B$2000,B82,$C$5:$C$2000,C82)+COUNTIFS('GM Roster'!$B$5:$B$2000,B82,'GM Roster'!$C$5:$C$2000,C82)</f>
        <v/>
      </c>
      <c r="N82">
        <f>IFERROR(INDEX('Known Players'!$C$5:$C$500,MATCH(B82&amp;"|"&amp;C82,'Known Players'!$F$5:$F$500,0)),"")</f>
        <v/>
      </c>
      <c r="O82">
        <f>IFERROR(INDEX('Known Players'!$D$5:$D$500,MATCH(B82&amp;"|"&amp;C82,'Known Players'!$F$5:$F$500,0)),"")</f>
        <v/>
      </c>
      <c r="P82">
        <f>IFERROR(INDEX('Known Players'!$G$5:$G$500,MATCH(B82&amp;"|"&amp;C82,'Known Players'!$F$5:$F$500,0)),"")</f>
        <v/>
      </c>
    </row>
    <row r="83">
      <c r="A83" t="n">
        <v>51</v>
      </c>
      <c r="B83" t="inlineStr">
        <is>
          <t>Player0874</t>
        </is>
      </c>
      <c r="C83" t="inlineStr">
        <is>
          <t>ExampleWorld164</t>
        </is>
      </c>
      <c r="D83" t="inlineStr">
        <is>
          <t>Alliance</t>
        </is>
      </c>
      <c r="E83" t="n">
        <v>10</v>
      </c>
      <c r="F83" t="n">
        <v>3</v>
      </c>
      <c r="G83" t="n">
        <v>5</v>
      </c>
      <c r="H83" s="5" t="n">
        <v>71.328827</v>
      </c>
      <c r="I83" s="5" t="n">
        <v>15.435567</v>
      </c>
      <c r="M83">
        <f>COUNTIFS($B$5:$B$2000,B83,$C$5:$C$2000,C83)+COUNTIFS('GM Roster'!$B$5:$B$2000,B83,'GM Roster'!$C$5:$C$2000,C83)</f>
        <v/>
      </c>
      <c r="N83">
        <f>IFERROR(INDEX('Known Players'!$C$5:$C$500,MATCH(B83&amp;"|"&amp;C83,'Known Players'!$F$5:$F$500,0)),"")</f>
        <v/>
      </c>
      <c r="O83">
        <f>IFERROR(INDEX('Known Players'!$D$5:$D$500,MATCH(B83&amp;"|"&amp;C83,'Known Players'!$F$5:$F$500,0)),"")</f>
        <v/>
      </c>
      <c r="P83">
        <f>IFERROR(INDEX('Known Players'!$G$5:$G$500,MATCH(B83&amp;"|"&amp;C83,'Known Players'!$F$5:$F$500,0)),"")</f>
        <v/>
      </c>
    </row>
    <row r="84">
      <c r="A84" t="n">
        <v>51</v>
      </c>
      <c r="B84" t="inlineStr">
        <is>
          <t>Player0207</t>
        </is>
      </c>
      <c r="C84" t="inlineStr">
        <is>
          <t>ExampleWorld066</t>
        </is>
      </c>
      <c r="D84" t="inlineStr">
        <is>
          <t>Alliance</t>
        </is>
      </c>
      <c r="E84" t="n">
        <v>9</v>
      </c>
      <c r="F84" t="n">
        <v>4</v>
      </c>
      <c r="G84" t="n">
        <v>4</v>
      </c>
      <c r="H84" s="5" t="n">
        <v>68.58882699999999</v>
      </c>
      <c r="I84" s="5" t="n">
        <v>13.243567</v>
      </c>
      <c r="M84">
        <f>COUNTIFS($B$5:$B$2000,B84,$C$5:$C$2000,C84)+COUNTIFS('GM Roster'!$B$5:$B$2000,B84,'GM Roster'!$C$5:$C$2000,C84)</f>
        <v/>
      </c>
      <c r="N84">
        <f>IFERROR(INDEX('Known Players'!$C$5:$C$500,MATCH(B84&amp;"|"&amp;C84,'Known Players'!$F$5:$F$500,0)),"")</f>
        <v/>
      </c>
      <c r="O84">
        <f>IFERROR(INDEX('Known Players'!$D$5:$D$500,MATCH(B84&amp;"|"&amp;C84,'Known Players'!$F$5:$F$500,0)),"")</f>
        <v/>
      </c>
      <c r="P84">
        <f>IFERROR(INDEX('Known Players'!$G$5:$G$500,MATCH(B84&amp;"|"&amp;C84,'Known Players'!$F$5:$F$500,0)),"")</f>
        <v/>
      </c>
    </row>
    <row r="85">
      <c r="A85" t="n">
        <v>51</v>
      </c>
      <c r="B85" t="inlineStr">
        <is>
          <t>Player0246</t>
        </is>
      </c>
      <c r="C85" t="inlineStr">
        <is>
          <t>ExampleWorld019</t>
        </is>
      </c>
      <c r="D85" t="inlineStr">
        <is>
          <t>Alliance</t>
        </is>
      </c>
      <c r="E85" t="n">
        <v>0</v>
      </c>
      <c r="F85" t="n">
        <v>8</v>
      </c>
      <c r="G85" t="n">
        <v>2</v>
      </c>
      <c r="H85" s="5" t="n">
        <v>54.888827</v>
      </c>
      <c r="I85" s="5" t="n">
        <v>15.983567</v>
      </c>
      <c r="M85">
        <f>COUNTIFS($B$5:$B$2000,B85,$C$5:$C$2000,C85)+COUNTIFS('GM Roster'!$B$5:$B$2000,B85,'GM Roster'!$C$5:$C$2000,C85)</f>
        <v/>
      </c>
      <c r="N85">
        <f>IFERROR(INDEX('Known Players'!$C$5:$C$500,MATCH(B85&amp;"|"&amp;C85,'Known Players'!$F$5:$F$500,0)),"")</f>
        <v/>
      </c>
      <c r="O85">
        <f>IFERROR(INDEX('Known Players'!$D$5:$D$500,MATCH(B85&amp;"|"&amp;C85,'Known Players'!$F$5:$F$500,0)),"")</f>
        <v/>
      </c>
      <c r="P85">
        <f>IFERROR(INDEX('Known Players'!$G$5:$G$500,MATCH(B85&amp;"|"&amp;C85,'Known Players'!$F$5:$F$500,0)),"")</f>
        <v/>
      </c>
    </row>
    <row r="86">
      <c r="A86" t="n">
        <v>51</v>
      </c>
      <c r="B86" t="inlineStr">
        <is>
          <t>Player0627</t>
        </is>
      </c>
      <c r="C86" t="inlineStr">
        <is>
          <t>ExampleWorld175</t>
        </is>
      </c>
      <c r="D86" t="inlineStr">
        <is>
          <t>Alliance</t>
        </is>
      </c>
      <c r="E86" t="n">
        <v>4</v>
      </c>
      <c r="F86" t="n">
        <v>4</v>
      </c>
      <c r="G86" t="n">
        <v>4</v>
      </c>
      <c r="H86" s="5" t="n">
        <v>52.148827</v>
      </c>
      <c r="I86" s="5" t="n">
        <v>4.201567</v>
      </c>
      <c r="M86">
        <f>COUNTIFS($B$5:$B$2000,B86,$C$5:$C$2000,C86)+COUNTIFS('GM Roster'!$B$5:$B$2000,B86,'GM Roster'!$C$5:$C$2000,C86)</f>
        <v/>
      </c>
      <c r="N86">
        <f>IFERROR(INDEX('Known Players'!$C$5:$C$500,MATCH(B86&amp;"|"&amp;C86,'Known Players'!$F$5:$F$500,0)),"")</f>
        <v/>
      </c>
      <c r="O86">
        <f>IFERROR(INDEX('Known Players'!$D$5:$D$500,MATCH(B86&amp;"|"&amp;C86,'Known Players'!$F$5:$F$500,0)),"")</f>
        <v/>
      </c>
      <c r="P86">
        <f>IFERROR(INDEX('Known Players'!$G$5:$G$500,MATCH(B86&amp;"|"&amp;C86,'Known Players'!$F$5:$F$500,0)),"")</f>
        <v/>
      </c>
    </row>
    <row r="87">
      <c r="A87" t="n">
        <v>51</v>
      </c>
      <c r="B87" t="inlineStr">
        <is>
          <t>Player0388</t>
        </is>
      </c>
      <c r="C87" t="inlineStr">
        <is>
          <t>PracticeRealm</t>
        </is>
      </c>
      <c r="D87" t="inlineStr">
        <is>
          <t>Alliance</t>
        </is>
      </c>
      <c r="E87" t="n">
        <v>4</v>
      </c>
      <c r="F87" t="n">
        <v>6</v>
      </c>
      <c r="G87" t="n">
        <v>7</v>
      </c>
      <c r="H87" s="5" t="n">
        <v>49.408827</v>
      </c>
      <c r="I87" s="5" t="n">
        <v>10.229567</v>
      </c>
      <c r="M87">
        <f>COUNTIFS($B$5:$B$2000,B87,$C$5:$C$2000,C87)+COUNTIFS('GM Roster'!$B$5:$B$2000,B87,'GM Roster'!$C$5:$C$2000,C87)</f>
        <v/>
      </c>
      <c r="N87">
        <f>IFERROR(INDEX('Known Players'!$C$5:$C$500,MATCH(B87&amp;"|"&amp;C87,'Known Players'!$F$5:$F$500,0)),"")</f>
        <v/>
      </c>
      <c r="O87">
        <f>IFERROR(INDEX('Known Players'!$D$5:$D$500,MATCH(B87&amp;"|"&amp;C87,'Known Players'!$F$5:$F$500,0)),"")</f>
        <v/>
      </c>
      <c r="P87">
        <f>IFERROR(INDEX('Known Players'!$G$5:$G$500,MATCH(B87&amp;"|"&amp;C87,'Known Players'!$F$5:$F$500,0)),"")</f>
        <v/>
      </c>
    </row>
    <row r="88">
      <c r="A88" t="n">
        <v>51</v>
      </c>
      <c r="B88" t="inlineStr">
        <is>
          <t>Player0603</t>
        </is>
      </c>
      <c r="C88" t="inlineStr">
        <is>
          <t>ExampleWorld164</t>
        </is>
      </c>
      <c r="D88" t="inlineStr">
        <is>
          <t>Alliance</t>
        </is>
      </c>
      <c r="E88" t="n">
        <v>0</v>
      </c>
      <c r="F88" t="n">
        <v>5</v>
      </c>
      <c r="G88" t="n">
        <v>7</v>
      </c>
      <c r="H88" s="5" t="n">
        <v>49.408827</v>
      </c>
      <c r="I88" s="5" t="n">
        <v>19.545567</v>
      </c>
      <c r="L88" t="inlineStr">
        <is>
          <t>Synthetic example</t>
        </is>
      </c>
      <c r="M88">
        <f>COUNTIFS($B$5:$B$2000,B88,$C$5:$C$2000,C88)+COUNTIFS('GM Roster'!$B$5:$B$2000,B88,'GM Roster'!$C$5:$C$2000,C88)</f>
        <v/>
      </c>
      <c r="N88">
        <f>IFERROR(INDEX('Known Players'!$C$5:$C$500,MATCH(B88&amp;"|"&amp;C88,'Known Players'!$F$5:$F$500,0)),"")</f>
        <v/>
      </c>
      <c r="O88">
        <f>IFERROR(INDEX('Known Players'!$D$5:$D$500,MATCH(B88&amp;"|"&amp;C88,'Known Players'!$F$5:$F$500,0)),"")</f>
        <v/>
      </c>
      <c r="P88">
        <f>IFERROR(INDEX('Known Players'!$G$5:$G$500,MATCH(B88&amp;"|"&amp;C88,'Known Players'!$F$5:$F$500,0)),"")</f>
        <v/>
      </c>
    </row>
    <row r="89">
      <c r="A89" t="n">
        <v>51</v>
      </c>
      <c r="B89" t="inlineStr">
        <is>
          <t>Player0136</t>
        </is>
      </c>
      <c r="C89" t="inlineStr">
        <is>
          <t>ExampleWorld164</t>
        </is>
      </c>
      <c r="D89" t="inlineStr">
        <is>
          <t>Alliance</t>
        </is>
      </c>
      <c r="E89" t="n">
        <v>2</v>
      </c>
      <c r="F89" t="n">
        <v>0</v>
      </c>
      <c r="G89" t="n">
        <v>10</v>
      </c>
      <c r="H89" s="5" t="n">
        <v>35.708827</v>
      </c>
      <c r="I89" s="5" t="n">
        <v>5.845567</v>
      </c>
      <c r="M89">
        <f>COUNTIFS($B$5:$B$2000,B89,$C$5:$C$2000,C89)+COUNTIFS('GM Roster'!$B$5:$B$2000,B89,'GM Roster'!$C$5:$C$2000,C89)</f>
        <v/>
      </c>
      <c r="N89">
        <f>IFERROR(INDEX('Known Players'!$C$5:$C$500,MATCH(B89&amp;"|"&amp;C89,'Known Players'!$F$5:$F$500,0)),"")</f>
        <v/>
      </c>
      <c r="O89">
        <f>IFERROR(INDEX('Known Players'!$D$5:$D$500,MATCH(B89&amp;"|"&amp;C89,'Known Players'!$F$5:$F$500,0)),"")</f>
        <v/>
      </c>
      <c r="P89">
        <f>IFERROR(INDEX('Known Players'!$G$5:$G$500,MATCH(B89&amp;"|"&amp;C89,'Known Players'!$F$5:$F$500,0)),"")</f>
        <v/>
      </c>
    </row>
    <row r="90">
      <c r="A90" t="n">
        <v>51</v>
      </c>
      <c r="B90" t="inlineStr">
        <is>
          <t>Player0872</t>
        </is>
      </c>
      <c r="C90" t="inlineStr">
        <is>
          <t>ExampleWorld037</t>
        </is>
      </c>
      <c r="D90" t="inlineStr">
        <is>
          <t>Alliance</t>
        </is>
      </c>
      <c r="E90" t="n">
        <v>0</v>
      </c>
      <c r="F90" t="n">
        <v>4</v>
      </c>
      <c r="G90" t="n">
        <v>0</v>
      </c>
      <c r="H90" s="5" t="n">
        <v>30.228827</v>
      </c>
      <c r="I90" s="5" t="n">
        <v>137.091567</v>
      </c>
      <c r="M90">
        <f>COUNTIFS($B$5:$B$2000,B90,$C$5:$C$2000,C90)+COUNTIFS('GM Roster'!$B$5:$B$2000,B90,'GM Roster'!$C$5:$C$2000,C90)</f>
        <v/>
      </c>
      <c r="N90">
        <f>IFERROR(INDEX('Known Players'!$C$5:$C$500,MATCH(B90&amp;"|"&amp;C90,'Known Players'!$F$5:$F$500,0)),"")</f>
        <v/>
      </c>
      <c r="O90">
        <f>IFERROR(INDEX('Known Players'!$D$5:$D$500,MATCH(B90&amp;"|"&amp;C90,'Known Players'!$F$5:$F$500,0)),"")</f>
        <v/>
      </c>
      <c r="P90">
        <f>IFERROR(INDEX('Known Players'!$G$5:$G$500,MATCH(B90&amp;"|"&amp;C90,'Known Players'!$F$5:$F$500,0)),"")</f>
        <v/>
      </c>
    </row>
    <row r="91">
      <c r="A91" t="n">
        <v>51</v>
      </c>
      <c r="B91" t="inlineStr">
        <is>
          <t>Player0439</t>
        </is>
      </c>
      <c r="C91" t="inlineStr">
        <is>
          <t>ExampleWorld150</t>
        </is>
      </c>
      <c r="D91" t="inlineStr">
        <is>
          <t>Alliance</t>
        </is>
      </c>
      <c r="E91" t="n">
        <v>10</v>
      </c>
      <c r="F91" t="n">
        <v>3</v>
      </c>
      <c r="G91" t="n">
        <v>9</v>
      </c>
      <c r="H91" s="5" t="n">
        <v>26.118827</v>
      </c>
      <c r="I91" s="5" t="n">
        <v>7.489567</v>
      </c>
      <c r="M91">
        <f>COUNTIFS($B$5:$B$2000,B91,$C$5:$C$2000,C91)+COUNTIFS('GM Roster'!$B$5:$B$2000,B91,'GM Roster'!$C$5:$C$2000,C91)</f>
        <v/>
      </c>
      <c r="N91">
        <f>IFERROR(INDEX('Known Players'!$C$5:$C$500,MATCH(B91&amp;"|"&amp;C91,'Known Players'!$F$5:$F$500,0)),"")</f>
        <v/>
      </c>
      <c r="O91">
        <f>IFERROR(INDEX('Known Players'!$D$5:$D$500,MATCH(B91&amp;"|"&amp;C91,'Known Players'!$F$5:$F$500,0)),"")</f>
        <v/>
      </c>
      <c r="P91">
        <f>IFERROR(INDEX('Known Players'!$G$5:$G$500,MATCH(B91&amp;"|"&amp;C91,'Known Players'!$F$5:$F$500,0)),"")</f>
        <v/>
      </c>
    </row>
    <row r="92">
      <c r="A92" t="n">
        <v>51</v>
      </c>
      <c r="B92" t="inlineStr">
        <is>
          <t>Player0408</t>
        </is>
      </c>
      <c r="C92" t="inlineStr">
        <is>
          <t>ExampleWorld150</t>
        </is>
      </c>
      <c r="D92" t="inlineStr">
        <is>
          <t>Alliance</t>
        </is>
      </c>
      <c r="E92" t="n">
        <v>4</v>
      </c>
      <c r="F92" t="n">
        <v>8</v>
      </c>
      <c r="G92" t="n">
        <v>7</v>
      </c>
      <c r="H92" s="5" t="n">
        <v>25.296827</v>
      </c>
      <c r="I92" s="5" t="n">
        <v>3.105567</v>
      </c>
      <c r="L92" t="inlineStr">
        <is>
          <t>Synthetic example</t>
        </is>
      </c>
      <c r="M92">
        <f>COUNTIFS($B$5:$B$2000,B92,$C$5:$C$2000,C92)+COUNTIFS('GM Roster'!$B$5:$B$2000,B92,'GM Roster'!$C$5:$C$2000,C92)</f>
        <v/>
      </c>
      <c r="N92">
        <f>IFERROR(INDEX('Known Players'!$C$5:$C$500,MATCH(B92&amp;"|"&amp;C92,'Known Players'!$F$5:$F$500,0)),"")</f>
        <v/>
      </c>
      <c r="O92">
        <f>IFERROR(INDEX('Known Players'!$D$5:$D$500,MATCH(B92&amp;"|"&amp;C92,'Known Players'!$F$5:$F$500,0)),"")</f>
        <v/>
      </c>
      <c r="P92">
        <f>IFERROR(INDEX('Known Players'!$G$5:$G$500,MATCH(B92&amp;"|"&amp;C92,'Known Players'!$F$5:$F$500,0)),"")</f>
        <v/>
      </c>
    </row>
    <row r="93">
      <c r="A93" t="n">
        <v>51</v>
      </c>
      <c r="B93" t="inlineStr">
        <is>
          <t>Player0336</t>
        </is>
      </c>
      <c r="C93" t="inlineStr">
        <is>
          <t>ExampleWorld042</t>
        </is>
      </c>
      <c r="D93" t="inlineStr">
        <is>
          <t>Alliance</t>
        </is>
      </c>
      <c r="E93" t="n">
        <v>10</v>
      </c>
      <c r="F93" t="n">
        <v>2</v>
      </c>
      <c r="G93" t="n">
        <v>10</v>
      </c>
      <c r="H93" s="5" t="n">
        <v>22.282827</v>
      </c>
      <c r="I93" s="5" t="n">
        <v>8.037566999999999</v>
      </c>
      <c r="M93">
        <f>COUNTIFS($B$5:$B$2000,B93,$C$5:$C$2000,C93)+COUNTIFS('GM Roster'!$B$5:$B$2000,B93,'GM Roster'!$C$5:$C$2000,C93)</f>
        <v/>
      </c>
      <c r="N93">
        <f>IFERROR(INDEX('Known Players'!$C$5:$C$500,MATCH(B93&amp;"|"&amp;C93,'Known Players'!$F$5:$F$500,0)),"")</f>
        <v/>
      </c>
      <c r="O93">
        <f>IFERROR(INDEX('Known Players'!$D$5:$D$500,MATCH(B93&amp;"|"&amp;C93,'Known Players'!$F$5:$F$500,0)),"")</f>
        <v/>
      </c>
      <c r="P93">
        <f>IFERROR(INDEX('Known Players'!$G$5:$G$500,MATCH(B93&amp;"|"&amp;C93,'Known Players'!$F$5:$F$500,0)),"")</f>
        <v/>
      </c>
    </row>
    <row r="94">
      <c r="A94" t="n">
        <v>51</v>
      </c>
      <c r="B94" t="inlineStr">
        <is>
          <t>Player0192</t>
        </is>
      </c>
      <c r="C94" t="inlineStr">
        <is>
          <t>PracticeRealm</t>
        </is>
      </c>
      <c r="D94" t="inlineStr">
        <is>
          <t>Alliance</t>
        </is>
      </c>
      <c r="E94" t="n">
        <v>2</v>
      </c>
      <c r="F94" t="n">
        <v>5</v>
      </c>
      <c r="G94" t="n">
        <v>4</v>
      </c>
      <c r="H94" s="5" t="n">
        <v>21.460827</v>
      </c>
      <c r="I94" s="5" t="n">
        <v>2.563047</v>
      </c>
      <c r="M94">
        <f>COUNTIFS($B$5:$B$2000,B94,$C$5:$C$2000,C94)+COUNTIFS('GM Roster'!$B$5:$B$2000,B94,'GM Roster'!$C$5:$C$2000,C94)</f>
        <v/>
      </c>
      <c r="N94">
        <f>IFERROR(INDEX('Known Players'!$C$5:$C$500,MATCH(B94&amp;"|"&amp;C94,'Known Players'!$F$5:$F$500,0)),"")</f>
        <v/>
      </c>
      <c r="O94">
        <f>IFERROR(INDEX('Known Players'!$D$5:$D$500,MATCH(B94&amp;"|"&amp;C94,'Known Players'!$F$5:$F$500,0)),"")</f>
        <v/>
      </c>
      <c r="P94">
        <f>IFERROR(INDEX('Known Players'!$G$5:$G$500,MATCH(B94&amp;"|"&amp;C94,'Known Players'!$F$5:$F$500,0)),"")</f>
        <v/>
      </c>
    </row>
    <row r="95">
      <c r="A95" t="n">
        <v>51</v>
      </c>
      <c r="B95" t="inlineStr">
        <is>
          <t>Player0082</t>
        </is>
      </c>
      <c r="C95" t="inlineStr">
        <is>
          <t>ExampleWorld025</t>
        </is>
      </c>
      <c r="D95" t="inlineStr">
        <is>
          <t>Alliance</t>
        </is>
      </c>
      <c r="E95" t="n">
        <v>0</v>
      </c>
      <c r="F95" t="n">
        <v>9</v>
      </c>
      <c r="G95" t="n">
        <v>0</v>
      </c>
      <c r="H95" s="5" t="n">
        <v>12.692827</v>
      </c>
      <c r="I95" s="5" t="n">
        <v>82.291567</v>
      </c>
      <c r="M95">
        <f>COUNTIFS($B$5:$B$2000,B95,$C$5:$C$2000,C95)+COUNTIFS('GM Roster'!$B$5:$B$2000,B95,'GM Roster'!$C$5:$C$2000,C95)</f>
        <v/>
      </c>
      <c r="N95">
        <f>IFERROR(INDEX('Known Players'!$C$5:$C$500,MATCH(B95&amp;"|"&amp;C95,'Known Players'!$F$5:$F$500,0)),"")</f>
        <v/>
      </c>
      <c r="O95">
        <f>IFERROR(INDEX('Known Players'!$D$5:$D$500,MATCH(B95&amp;"|"&amp;C95,'Known Players'!$F$5:$F$500,0)),"")</f>
        <v/>
      </c>
      <c r="P95">
        <f>IFERROR(INDEX('Known Players'!$G$5:$G$500,MATCH(B95&amp;"|"&amp;C95,'Known Players'!$F$5:$F$500,0)),"")</f>
        <v/>
      </c>
    </row>
    <row r="96">
      <c r="A96" t="n">
        <v>51</v>
      </c>
      <c r="B96" t="inlineStr">
        <is>
          <t>Player0500</t>
        </is>
      </c>
      <c r="C96" t="inlineStr">
        <is>
          <t>ExampleWorld168</t>
        </is>
      </c>
      <c r="D96" t="inlineStr">
        <is>
          <t>Alliance</t>
        </is>
      </c>
      <c r="E96" t="n">
        <v>0</v>
      </c>
      <c r="F96" t="n">
        <v>9</v>
      </c>
      <c r="G96" t="n">
        <v>0</v>
      </c>
      <c r="H96" s="5" t="n">
        <v>1.283467</v>
      </c>
      <c r="I96" s="5" t="n">
        <v>115.171567</v>
      </c>
      <c r="M96">
        <f>COUNTIFS($B$5:$B$2000,B96,$C$5:$C$2000,C96)+COUNTIFS('GM Roster'!$B$5:$B$2000,B96,'GM Roster'!$C$5:$C$2000,C96)</f>
        <v/>
      </c>
      <c r="N96">
        <f>IFERROR(INDEX('Known Players'!$C$5:$C$500,MATCH(B96&amp;"|"&amp;C96,'Known Players'!$F$5:$F$500,0)),"")</f>
        <v/>
      </c>
      <c r="O96">
        <f>IFERROR(INDEX('Known Players'!$D$5:$D$500,MATCH(B96&amp;"|"&amp;C96,'Known Players'!$F$5:$F$500,0)),"")</f>
        <v/>
      </c>
      <c r="P96">
        <f>IFERROR(INDEX('Known Players'!$G$5:$G$500,MATCH(B96&amp;"|"&amp;C96,'Known Players'!$F$5:$F$500,0)),"")</f>
        <v/>
      </c>
    </row>
    <row r="97">
      <c r="A97" t="n">
        <v>52</v>
      </c>
      <c r="B97" t="inlineStr">
        <is>
          <t>Player0171</t>
        </is>
      </c>
      <c r="C97" t="inlineStr">
        <is>
          <t>ExampleWorld104</t>
        </is>
      </c>
      <c r="D97" t="inlineStr">
        <is>
          <t>Horde</t>
        </is>
      </c>
      <c r="E97" t="n">
        <v>0</v>
      </c>
      <c r="F97" t="n">
        <v>7</v>
      </c>
      <c r="G97" t="n">
        <v>5</v>
      </c>
      <c r="H97" s="5" t="n">
        <v>35.708827</v>
      </c>
      <c r="I97" s="5" t="n">
        <v>7.215567</v>
      </c>
      <c r="M97">
        <f>COUNTIFS($B$5:$B$2000,B97,$C$5:$C$2000,C97)+COUNTIFS('GM Roster'!$B$5:$B$2000,B97,'GM Roster'!$C$5:$C$2000,C97)</f>
        <v/>
      </c>
      <c r="N97">
        <f>IFERROR(INDEX('Known Players'!$C$5:$C$500,MATCH(B97&amp;"|"&amp;C97,'Known Players'!$F$5:$F$500,0)),"")</f>
        <v/>
      </c>
      <c r="O97">
        <f>IFERROR(INDEX('Known Players'!$D$5:$D$500,MATCH(B97&amp;"|"&amp;C97,'Known Players'!$F$5:$F$500,0)),"")</f>
        <v/>
      </c>
      <c r="P97">
        <f>IFERROR(INDEX('Known Players'!$G$5:$G$500,MATCH(B97&amp;"|"&amp;C97,'Known Players'!$F$5:$F$500,0)),"")</f>
        <v/>
      </c>
    </row>
    <row r="98">
      <c r="A98" t="n">
        <v>52</v>
      </c>
      <c r="B98" t="inlineStr">
        <is>
          <t>Player0625</t>
        </is>
      </c>
      <c r="C98" t="inlineStr">
        <is>
          <t>PracticeRealm</t>
        </is>
      </c>
      <c r="D98" t="inlineStr">
        <is>
          <t>Horde</t>
        </is>
      </c>
      <c r="E98" t="n">
        <v>4</v>
      </c>
      <c r="F98" t="n">
        <v>4</v>
      </c>
      <c r="G98" t="n">
        <v>5</v>
      </c>
      <c r="H98" s="5" t="n">
        <v>35.708827</v>
      </c>
      <c r="I98" s="5" t="n">
        <v>5.845567</v>
      </c>
      <c r="M98">
        <f>COUNTIFS($B$5:$B$2000,B98,$C$5:$C$2000,C98)+COUNTIFS('GM Roster'!$B$5:$B$2000,B98,'GM Roster'!$C$5:$C$2000,C98)</f>
        <v/>
      </c>
      <c r="N98">
        <f>IFERROR(INDEX('Known Players'!$C$5:$C$500,MATCH(B98&amp;"|"&amp;C98,'Known Players'!$F$5:$F$500,0)),"")</f>
        <v/>
      </c>
      <c r="O98">
        <f>IFERROR(INDEX('Known Players'!$D$5:$D$500,MATCH(B98&amp;"|"&amp;C98,'Known Players'!$F$5:$F$500,0)),"")</f>
        <v/>
      </c>
      <c r="P98">
        <f>IFERROR(INDEX('Known Players'!$G$5:$G$500,MATCH(B98&amp;"|"&amp;C98,'Known Players'!$F$5:$F$500,0)),"")</f>
        <v/>
      </c>
    </row>
    <row r="99">
      <c r="A99" t="n">
        <v>52</v>
      </c>
      <c r="B99" t="inlineStr">
        <is>
          <t>Emberguard</t>
        </is>
      </c>
      <c r="C99" t="inlineStr">
        <is>
          <t>SandboxRealm</t>
        </is>
      </c>
      <c r="D99" t="inlineStr">
        <is>
          <t>Horde</t>
        </is>
      </c>
      <c r="E99" t="n">
        <v>10</v>
      </c>
      <c r="F99" t="n">
        <v>6</v>
      </c>
      <c r="G99" t="n">
        <v>10</v>
      </c>
      <c r="H99" s="5" t="n">
        <v>32.968827</v>
      </c>
      <c r="I99" s="5" t="n">
        <v>5.297567</v>
      </c>
      <c r="M99">
        <f>COUNTIFS($B$5:$B$2000,B99,$C$5:$C$2000,C99)+COUNTIFS('GM Roster'!$B$5:$B$2000,B99,'GM Roster'!$C$5:$C$2000,C99)</f>
        <v/>
      </c>
      <c r="N99">
        <f>IFERROR(INDEX('Known Players'!$C$5:$C$500,MATCH(B99&amp;"|"&amp;C99,'Known Players'!$F$5:$F$500,0)),"")</f>
        <v/>
      </c>
      <c r="O99">
        <f>IFERROR(INDEX('Known Players'!$D$5:$D$500,MATCH(B99&amp;"|"&amp;C99,'Known Players'!$F$5:$F$500,0)),"")</f>
        <v/>
      </c>
      <c r="P99">
        <f>IFERROR(INDEX('Known Players'!$G$5:$G$500,MATCH(B99&amp;"|"&amp;C99,'Known Players'!$F$5:$F$500,0)),"")</f>
        <v/>
      </c>
    </row>
    <row r="100">
      <c r="A100" t="n">
        <v>52</v>
      </c>
      <c r="B100" t="inlineStr">
        <is>
          <t>Player0654</t>
        </is>
      </c>
      <c r="C100" t="inlineStr">
        <is>
          <t>ExampleWorld105</t>
        </is>
      </c>
      <c r="D100" t="inlineStr">
        <is>
          <t>Horde</t>
        </is>
      </c>
      <c r="E100" t="n">
        <v>7</v>
      </c>
      <c r="F100" t="n">
        <v>0</v>
      </c>
      <c r="G100" t="n">
        <v>5</v>
      </c>
      <c r="H100" s="5" t="n">
        <v>32.968827</v>
      </c>
      <c r="I100" s="5" t="n">
        <v>5.571567</v>
      </c>
      <c r="M100">
        <f>COUNTIFS($B$5:$B$2000,B100,$C$5:$C$2000,C100)+COUNTIFS('GM Roster'!$B$5:$B$2000,B100,'GM Roster'!$C$5:$C$2000,C100)</f>
        <v/>
      </c>
      <c r="N100">
        <f>IFERROR(INDEX('Known Players'!$C$5:$C$500,MATCH(B100&amp;"|"&amp;C100,'Known Players'!$F$5:$F$500,0)),"")</f>
        <v/>
      </c>
      <c r="O100">
        <f>IFERROR(INDEX('Known Players'!$D$5:$D$500,MATCH(B100&amp;"|"&amp;C100,'Known Players'!$F$5:$F$500,0)),"")</f>
        <v/>
      </c>
      <c r="P100">
        <f>IFERROR(INDEX('Known Players'!$G$5:$G$500,MATCH(B100&amp;"|"&amp;C100,'Known Players'!$F$5:$F$500,0)),"")</f>
        <v/>
      </c>
    </row>
    <row r="101">
      <c r="A101" t="n">
        <v>52</v>
      </c>
      <c r="B101" t="inlineStr">
        <is>
          <t>Player0356</t>
        </is>
      </c>
      <c r="C101" t="inlineStr">
        <is>
          <t>ExampleWorld095</t>
        </is>
      </c>
      <c r="D101" t="inlineStr">
        <is>
          <t>Horde</t>
        </is>
      </c>
      <c r="E101" t="n">
        <v>0</v>
      </c>
      <c r="F101" t="n">
        <v>4</v>
      </c>
      <c r="G101" t="n">
        <v>2</v>
      </c>
      <c r="H101" s="5" t="n">
        <v>25.844827</v>
      </c>
      <c r="I101" s="5" t="n">
        <v>2.741147</v>
      </c>
      <c r="M101">
        <f>COUNTIFS($B$5:$B$2000,B101,$C$5:$C$2000,C101)+COUNTIFS('GM Roster'!$B$5:$B$2000,B101,'GM Roster'!$C$5:$C$2000,C101)</f>
        <v/>
      </c>
      <c r="N101">
        <f>IFERROR(INDEX('Known Players'!$C$5:$C$500,MATCH(B101&amp;"|"&amp;C101,'Known Players'!$F$5:$F$500,0)),"")</f>
        <v/>
      </c>
      <c r="O101">
        <f>IFERROR(INDEX('Known Players'!$D$5:$D$500,MATCH(B101&amp;"|"&amp;C101,'Known Players'!$F$5:$F$500,0)),"")</f>
        <v/>
      </c>
      <c r="P101">
        <f>IFERROR(INDEX('Known Players'!$G$5:$G$500,MATCH(B101&amp;"|"&amp;C101,'Known Players'!$F$5:$F$500,0)),"")</f>
        <v/>
      </c>
    </row>
    <row r="102">
      <c r="A102" t="n">
        <v>52</v>
      </c>
      <c r="B102" t="inlineStr">
        <is>
          <t>Player0078</t>
        </is>
      </c>
      <c r="C102" t="inlineStr">
        <is>
          <t>SandboxRealm</t>
        </is>
      </c>
      <c r="D102" t="inlineStr">
        <is>
          <t>Horde</t>
        </is>
      </c>
      <c r="E102" t="n">
        <v>7</v>
      </c>
      <c r="F102" t="n">
        <v>0</v>
      </c>
      <c r="G102" t="n">
        <v>7</v>
      </c>
      <c r="H102" s="5" t="n">
        <v>25.296827</v>
      </c>
      <c r="I102" s="5" t="n">
        <v>7.489567</v>
      </c>
      <c r="M102">
        <f>COUNTIFS($B$5:$B$2000,B102,$C$5:$C$2000,C102)+COUNTIFS('GM Roster'!$B$5:$B$2000,B102,'GM Roster'!$C$5:$C$2000,C102)</f>
        <v/>
      </c>
      <c r="N102">
        <f>IFERROR(INDEX('Known Players'!$C$5:$C$500,MATCH(B102&amp;"|"&amp;C102,'Known Players'!$F$5:$F$500,0)),"")</f>
        <v/>
      </c>
      <c r="O102">
        <f>IFERROR(INDEX('Known Players'!$D$5:$D$500,MATCH(B102&amp;"|"&amp;C102,'Known Players'!$F$5:$F$500,0)),"")</f>
        <v/>
      </c>
      <c r="P102">
        <f>IFERROR(INDEX('Known Players'!$G$5:$G$500,MATCH(B102&amp;"|"&amp;C102,'Known Players'!$F$5:$F$500,0)),"")</f>
        <v/>
      </c>
    </row>
    <row r="103">
      <c r="A103" t="n">
        <v>52</v>
      </c>
      <c r="B103" t="inlineStr">
        <is>
          <t>Player0547</t>
        </is>
      </c>
      <c r="C103" t="inlineStr">
        <is>
          <t>SandboxRealm</t>
        </is>
      </c>
      <c r="D103" t="inlineStr">
        <is>
          <t>Horde</t>
        </is>
      </c>
      <c r="E103" t="n">
        <v>0</v>
      </c>
      <c r="F103" t="n">
        <v>0</v>
      </c>
      <c r="G103" t="n">
        <v>10</v>
      </c>
      <c r="H103" s="5" t="n">
        <v>22.282827</v>
      </c>
      <c r="I103" s="5" t="n">
        <v>13.791567</v>
      </c>
      <c r="J103" t="inlineStr">
        <is>
          <t>Carts captured: 1</t>
        </is>
      </c>
      <c r="M103">
        <f>COUNTIFS($B$5:$B$2000,B103,$C$5:$C$2000,C103)+COUNTIFS('GM Roster'!$B$5:$B$2000,B103,'GM Roster'!$C$5:$C$2000,C103)</f>
        <v/>
      </c>
      <c r="N103">
        <f>IFERROR(INDEX('Known Players'!$C$5:$C$500,MATCH(B103&amp;"|"&amp;C103,'Known Players'!$F$5:$F$500,0)),"")</f>
        <v/>
      </c>
      <c r="O103">
        <f>IFERROR(INDEX('Known Players'!$D$5:$D$500,MATCH(B103&amp;"|"&amp;C103,'Known Players'!$F$5:$F$500,0)),"")</f>
        <v/>
      </c>
      <c r="P103">
        <f>IFERROR(INDEX('Known Players'!$G$5:$G$500,MATCH(B103&amp;"|"&amp;C103,'Known Players'!$F$5:$F$500,0)),"")</f>
        <v/>
      </c>
    </row>
    <row r="104">
      <c r="A104" t="n">
        <v>52</v>
      </c>
      <c r="B104" t="inlineStr">
        <is>
          <t>Player0722</t>
        </is>
      </c>
      <c r="C104" t="inlineStr">
        <is>
          <t>ExampleWorld140</t>
        </is>
      </c>
      <c r="D104" t="inlineStr">
        <is>
          <t>Horde</t>
        </is>
      </c>
      <c r="E104" t="n">
        <v>0</v>
      </c>
      <c r="F104" t="n">
        <v>4</v>
      </c>
      <c r="G104" t="n">
        <v>0</v>
      </c>
      <c r="H104" s="5" t="n">
        <v>18.172827</v>
      </c>
      <c r="I104" s="5" t="n">
        <v>74.071567</v>
      </c>
      <c r="M104">
        <f>COUNTIFS($B$5:$B$2000,B104,$C$5:$C$2000,C104)+COUNTIFS('GM Roster'!$B$5:$B$2000,B104,'GM Roster'!$C$5:$C$2000,C104)</f>
        <v/>
      </c>
      <c r="N104">
        <f>IFERROR(INDEX('Known Players'!$C$5:$C$500,MATCH(B104&amp;"|"&amp;C104,'Known Players'!$F$5:$F$500,0)),"")</f>
        <v/>
      </c>
      <c r="O104">
        <f>IFERROR(INDEX('Known Players'!$D$5:$D$500,MATCH(B104&amp;"|"&amp;C104,'Known Players'!$F$5:$F$500,0)),"")</f>
        <v/>
      </c>
      <c r="P104">
        <f>IFERROR(INDEX('Known Players'!$G$5:$G$500,MATCH(B104&amp;"|"&amp;C104,'Known Players'!$F$5:$F$500,0)),"")</f>
        <v/>
      </c>
    </row>
    <row r="105">
      <c r="A105" t="n">
        <v>52</v>
      </c>
      <c r="B105" t="inlineStr">
        <is>
          <t>Asterknight</t>
        </is>
      </c>
      <c r="C105" t="inlineStr">
        <is>
          <t>exampleworld001</t>
        </is>
      </c>
      <c r="D105" t="inlineStr">
        <is>
          <t>Horde</t>
        </is>
      </c>
      <c r="E105" t="n">
        <v>0</v>
      </c>
      <c r="F105" t="n">
        <v>6</v>
      </c>
      <c r="G105" t="n">
        <v>10</v>
      </c>
      <c r="H105" s="5" t="n">
        <v>13.268227</v>
      </c>
      <c r="I105" s="5" t="n">
        <v>6.229167</v>
      </c>
      <c r="J105" t="inlineStr">
        <is>
          <t>Carts captured: 3</t>
        </is>
      </c>
      <c r="M105">
        <f>COUNTIFS($B$5:$B$2000,B105,$C$5:$C$2000,C105)+COUNTIFS('GM Roster'!$B$5:$B$2000,B105,'GM Roster'!$C$5:$C$2000,C105)</f>
        <v/>
      </c>
      <c r="N105">
        <f>IFERROR(INDEX('Known Players'!$C$5:$C$500,MATCH(B105&amp;"|"&amp;C105,'Known Players'!$F$5:$F$500,0)),"")</f>
        <v/>
      </c>
      <c r="O105">
        <f>IFERROR(INDEX('Known Players'!$D$5:$D$500,MATCH(B105&amp;"|"&amp;C105,'Known Players'!$F$5:$F$500,0)),"")</f>
        <v/>
      </c>
      <c r="P105">
        <f>IFERROR(INDEX('Known Players'!$G$5:$G$500,MATCH(B105&amp;"|"&amp;C105,'Known Players'!$F$5:$F$500,0)),"")</f>
        <v/>
      </c>
    </row>
    <row r="106">
      <c r="A106" t="n">
        <v>52</v>
      </c>
      <c r="B106" t="inlineStr">
        <is>
          <t>Player0065</t>
        </is>
      </c>
      <c r="C106" t="inlineStr">
        <is>
          <t>PracticeRealm</t>
        </is>
      </c>
      <c r="D106" t="inlineStr">
        <is>
          <t>Horde</t>
        </is>
      </c>
      <c r="E106" t="n">
        <v>0</v>
      </c>
      <c r="F106" t="n">
        <v>0</v>
      </c>
      <c r="G106" t="n">
        <v>7</v>
      </c>
      <c r="H106" s="5" t="n">
        <v>13.240827</v>
      </c>
      <c r="I106" s="5" t="n">
        <v>1.225927</v>
      </c>
      <c r="M106">
        <f>COUNTIFS($B$5:$B$2000,B106,$C$5:$C$2000,C106)+COUNTIFS('GM Roster'!$B$5:$B$2000,B106,'GM Roster'!$C$5:$C$2000,C106)</f>
        <v/>
      </c>
      <c r="N106">
        <f>IFERROR(INDEX('Known Players'!$C$5:$C$500,MATCH(B106&amp;"|"&amp;C106,'Known Players'!$F$5:$F$500,0)),"")</f>
        <v/>
      </c>
      <c r="O106">
        <f>IFERROR(INDEX('Known Players'!$D$5:$D$500,MATCH(B106&amp;"|"&amp;C106,'Known Players'!$F$5:$F$500,0)),"")</f>
        <v/>
      </c>
      <c r="P106">
        <f>IFERROR(INDEX('Known Players'!$G$5:$G$500,MATCH(B106&amp;"|"&amp;C106,'Known Players'!$F$5:$F$500,0)),"")</f>
        <v/>
      </c>
    </row>
    <row r="107">
      <c r="A107" t="n">
        <v>52</v>
      </c>
      <c r="B107" t="inlineStr">
        <is>
          <t>Player0398</t>
        </is>
      </c>
      <c r="C107" t="inlineStr">
        <is>
          <t>ExampleWorld196</t>
        </is>
      </c>
      <c r="D107" t="inlineStr">
        <is>
          <t>Horde</t>
        </is>
      </c>
      <c r="E107" t="n">
        <v>4</v>
      </c>
      <c r="F107" t="n">
        <v>3</v>
      </c>
      <c r="G107" t="n">
        <v>7</v>
      </c>
      <c r="H107" s="5" t="n">
        <v>8.582827</v>
      </c>
      <c r="I107" s="5" t="n">
        <v>1.623227</v>
      </c>
      <c r="M107">
        <f>COUNTIFS($B$5:$B$2000,B107,$C$5:$C$2000,C107)+COUNTIFS('GM Roster'!$B$5:$B$2000,B107,'GM Roster'!$C$5:$C$2000,C107)</f>
        <v/>
      </c>
      <c r="N107">
        <f>IFERROR(INDEX('Known Players'!$C$5:$C$500,MATCH(B107&amp;"|"&amp;C107,'Known Players'!$F$5:$F$500,0)),"")</f>
        <v/>
      </c>
      <c r="O107">
        <f>IFERROR(INDEX('Known Players'!$D$5:$D$500,MATCH(B107&amp;"|"&amp;C107,'Known Players'!$F$5:$F$500,0)),"")</f>
        <v/>
      </c>
      <c r="P107">
        <f>IFERROR(INDEX('Known Players'!$G$5:$G$500,MATCH(B107&amp;"|"&amp;C107,'Known Players'!$F$5:$F$500,0)),"")</f>
        <v/>
      </c>
    </row>
    <row r="108">
      <c r="A108" t="n">
        <v>52</v>
      </c>
      <c r="B108" t="inlineStr">
        <is>
          <t>Player0733</t>
        </is>
      </c>
      <c r="C108" t="inlineStr">
        <is>
          <t>ExampleWorld109</t>
        </is>
      </c>
      <c r="D108" t="inlineStr">
        <is>
          <t>Horde</t>
        </is>
      </c>
      <c r="E108" t="n">
        <v>4</v>
      </c>
      <c r="F108" t="n">
        <v>6</v>
      </c>
      <c r="G108" t="n">
        <v>10</v>
      </c>
      <c r="H108" s="5" t="n">
        <v>5.020827</v>
      </c>
      <c r="I108" s="5" t="n">
        <v>6.393567</v>
      </c>
      <c r="M108">
        <f>COUNTIFS($B$5:$B$2000,B108,$C$5:$C$2000,C108)+COUNTIFS('GM Roster'!$B$5:$B$2000,B108,'GM Roster'!$C$5:$C$2000,C108)</f>
        <v/>
      </c>
      <c r="N108">
        <f>IFERROR(INDEX('Known Players'!$C$5:$C$500,MATCH(B108&amp;"|"&amp;C108,'Known Players'!$F$5:$F$500,0)),"")</f>
        <v/>
      </c>
      <c r="O108">
        <f>IFERROR(INDEX('Known Players'!$D$5:$D$500,MATCH(B108&amp;"|"&amp;C108,'Known Players'!$F$5:$F$500,0)),"")</f>
        <v/>
      </c>
      <c r="P108">
        <f>IFERROR(INDEX('Known Players'!$G$5:$G$500,MATCH(B108&amp;"|"&amp;C108,'Known Players'!$F$5:$F$500,0)),"")</f>
        <v/>
      </c>
    </row>
    <row r="109">
      <c r="A109" t="n">
        <v>52</v>
      </c>
      <c r="B109" t="inlineStr">
        <is>
          <t>Player0334</t>
        </is>
      </c>
      <c r="C109" t="inlineStr">
        <is>
          <t>ExampleWorld100</t>
        </is>
      </c>
      <c r="D109" t="inlineStr">
        <is>
          <t>Horde</t>
        </is>
      </c>
      <c r="E109" t="n">
        <v>0</v>
      </c>
      <c r="F109" t="n">
        <v>6</v>
      </c>
      <c r="G109" t="n">
        <v>7</v>
      </c>
      <c r="H109" s="5" t="n">
        <v>2.105467</v>
      </c>
      <c r="I109" s="5" t="n">
        <v>9.955567</v>
      </c>
      <c r="M109">
        <f>COUNTIFS($B$5:$B$2000,B109,$C$5:$C$2000,C109)+COUNTIFS('GM Roster'!$B$5:$B$2000,B109,'GM Roster'!$C$5:$C$2000,C109)</f>
        <v/>
      </c>
      <c r="N109">
        <f>IFERROR(INDEX('Known Players'!$C$5:$C$500,MATCH(B109&amp;"|"&amp;C109,'Known Players'!$F$5:$F$500,0)),"")</f>
        <v/>
      </c>
      <c r="O109">
        <f>IFERROR(INDEX('Known Players'!$D$5:$D$500,MATCH(B109&amp;"|"&amp;C109,'Known Players'!$F$5:$F$500,0)),"")</f>
        <v/>
      </c>
      <c r="P109">
        <f>IFERROR(INDEX('Known Players'!$G$5:$G$500,MATCH(B109&amp;"|"&amp;C109,'Known Players'!$F$5:$F$500,0)),"")</f>
        <v/>
      </c>
    </row>
    <row r="110">
      <c r="A110" t="n">
        <v>52</v>
      </c>
      <c r="B110" t="inlineStr">
        <is>
          <t>Player0832</t>
        </is>
      </c>
      <c r="C110" t="inlineStr">
        <is>
          <t>SandboxRealm</t>
        </is>
      </c>
      <c r="D110" t="inlineStr">
        <is>
          <t>Horde</t>
        </is>
      </c>
      <c r="E110" t="n">
        <v>0</v>
      </c>
      <c r="F110" t="n">
        <v>3</v>
      </c>
      <c r="G110" t="n">
        <v>10</v>
      </c>
      <c r="H110" s="5" t="n">
        <v>0.814927</v>
      </c>
      <c r="I110" s="5" t="n">
        <v>74.071567</v>
      </c>
      <c r="M110">
        <f>COUNTIFS($B$5:$B$2000,B110,$C$5:$C$2000,C110)+COUNTIFS('GM Roster'!$B$5:$B$2000,B110,'GM Roster'!$C$5:$C$2000,C110)</f>
        <v/>
      </c>
      <c r="N110">
        <f>IFERROR(INDEX('Known Players'!$C$5:$C$500,MATCH(B110&amp;"|"&amp;C110,'Known Players'!$F$5:$F$500,0)),"")</f>
        <v/>
      </c>
      <c r="O110">
        <f>IFERROR(INDEX('Known Players'!$D$5:$D$500,MATCH(B110&amp;"|"&amp;C110,'Known Players'!$F$5:$F$500,0)),"")</f>
        <v/>
      </c>
      <c r="P110">
        <f>IFERROR(INDEX('Known Players'!$G$5:$G$500,MATCH(B110&amp;"|"&amp;C110,'Known Players'!$F$5:$F$500,0)),"")</f>
        <v/>
      </c>
    </row>
    <row r="111">
      <c r="A111" t="n">
        <v>52</v>
      </c>
      <c r="B111" t="inlineStr">
        <is>
          <t>Player0224</t>
        </is>
      </c>
      <c r="C111" t="inlineStr">
        <is>
          <t>ExampleWorld023</t>
        </is>
      </c>
      <c r="D111" t="inlineStr">
        <is>
          <t>Horde</t>
        </is>
      </c>
      <c r="E111" t="n">
        <v>0</v>
      </c>
      <c r="F111" t="n">
        <v>0</v>
      </c>
      <c r="G111" t="n">
        <v>0</v>
      </c>
      <c r="H111" s="5" t="n">
        <v>0</v>
      </c>
      <c r="I111" s="5" t="n">
        <v>0</v>
      </c>
      <c r="K111" t="inlineStr">
        <is>
          <t>Zero stats: AFK</t>
        </is>
      </c>
      <c r="M111">
        <f>COUNTIFS($B$5:$B$2000,B111,$C$5:$C$2000,C111)+COUNTIFS('GM Roster'!$B$5:$B$2000,B111,'GM Roster'!$C$5:$C$2000,C111)</f>
        <v/>
      </c>
      <c r="N111">
        <f>IFERROR(INDEX('Known Players'!$C$5:$C$500,MATCH(B111&amp;"|"&amp;C111,'Known Players'!$F$5:$F$500,0)),"")</f>
        <v/>
      </c>
      <c r="O111">
        <f>IFERROR(INDEX('Known Players'!$D$5:$D$500,MATCH(B111&amp;"|"&amp;C111,'Known Players'!$F$5:$F$500,0)),"")</f>
        <v/>
      </c>
      <c r="P111">
        <f>IFERROR(INDEX('Known Players'!$G$5:$G$500,MATCH(B111&amp;"|"&amp;C111,'Known Players'!$F$5:$F$500,0)),"")</f>
        <v/>
      </c>
    </row>
    <row r="112">
      <c r="A112" t="n">
        <v>52</v>
      </c>
      <c r="B112" t="inlineStr">
        <is>
          <t>Player0470</t>
        </is>
      </c>
      <c r="C112" t="inlineStr">
        <is>
          <t>ExampleWorld164</t>
        </is>
      </c>
      <c r="D112" t="inlineStr">
        <is>
          <t>Alliance</t>
        </is>
      </c>
      <c r="E112" t="n">
        <v>10</v>
      </c>
      <c r="F112" t="n">
        <v>2</v>
      </c>
      <c r="G112" t="n">
        <v>4</v>
      </c>
      <c r="H112" s="5" t="n">
        <v>63.108827</v>
      </c>
      <c r="I112" s="5" t="n">
        <v>14.887567</v>
      </c>
      <c r="M112">
        <f>COUNTIFS($B$5:$B$2000,B112,$C$5:$C$2000,C112)+COUNTIFS('GM Roster'!$B$5:$B$2000,B112,'GM Roster'!$C$5:$C$2000,C112)</f>
        <v/>
      </c>
      <c r="N112">
        <f>IFERROR(INDEX('Known Players'!$C$5:$C$500,MATCH(B112&amp;"|"&amp;C112,'Known Players'!$F$5:$F$500,0)),"")</f>
        <v/>
      </c>
      <c r="O112">
        <f>IFERROR(INDEX('Known Players'!$D$5:$D$500,MATCH(B112&amp;"|"&amp;C112,'Known Players'!$F$5:$F$500,0)),"")</f>
        <v/>
      </c>
      <c r="P112">
        <f>IFERROR(INDEX('Known Players'!$G$5:$G$500,MATCH(B112&amp;"|"&amp;C112,'Known Players'!$F$5:$F$500,0)),"")</f>
        <v/>
      </c>
    </row>
    <row r="113">
      <c r="A113" t="n">
        <v>52</v>
      </c>
      <c r="B113" t="inlineStr">
        <is>
          <t>Player0714</t>
        </is>
      </c>
      <c r="C113" t="inlineStr">
        <is>
          <t>ExampleWorld164</t>
        </is>
      </c>
      <c r="D113" t="inlineStr">
        <is>
          <t>Alliance</t>
        </is>
      </c>
      <c r="E113" t="n">
        <v>3</v>
      </c>
      <c r="F113" t="n">
        <v>5</v>
      </c>
      <c r="G113" t="n">
        <v>0</v>
      </c>
      <c r="H113" s="5" t="n">
        <v>60.368827</v>
      </c>
      <c r="I113" s="5" t="n">
        <v>11.599567</v>
      </c>
      <c r="M113">
        <f>COUNTIFS($B$5:$B$2000,B113,$C$5:$C$2000,C113)+COUNTIFS('GM Roster'!$B$5:$B$2000,B113,'GM Roster'!$C$5:$C$2000,C113)</f>
        <v/>
      </c>
      <c r="N113">
        <f>IFERROR(INDEX('Known Players'!$C$5:$C$500,MATCH(B113&amp;"|"&amp;C113,'Known Players'!$F$5:$F$500,0)),"")</f>
        <v/>
      </c>
      <c r="O113">
        <f>IFERROR(INDEX('Known Players'!$D$5:$D$500,MATCH(B113&amp;"|"&amp;C113,'Known Players'!$F$5:$F$500,0)),"")</f>
        <v/>
      </c>
      <c r="P113">
        <f>IFERROR(INDEX('Known Players'!$G$5:$G$500,MATCH(B113&amp;"|"&amp;C113,'Known Players'!$F$5:$F$500,0)),"")</f>
        <v/>
      </c>
    </row>
    <row r="114">
      <c r="A114" t="n">
        <v>52</v>
      </c>
      <c r="B114" t="inlineStr">
        <is>
          <t>Player0958</t>
        </is>
      </c>
      <c r="C114" t="inlineStr">
        <is>
          <t>ExampleWorld056</t>
        </is>
      </c>
      <c r="D114" t="inlineStr">
        <is>
          <t>Alliance</t>
        </is>
      </c>
      <c r="E114" t="n">
        <v>6</v>
      </c>
      <c r="F114" t="n">
        <v>2</v>
      </c>
      <c r="G114" t="n">
        <v>0</v>
      </c>
      <c r="H114" s="5" t="n">
        <v>54.888827</v>
      </c>
      <c r="I114" s="5" t="n">
        <v>17.627567</v>
      </c>
      <c r="J114" t="inlineStr">
        <is>
          <t>Carts captured: 1</t>
        </is>
      </c>
      <c r="M114">
        <f>COUNTIFS($B$5:$B$2000,B114,$C$5:$C$2000,C114)+COUNTIFS('GM Roster'!$B$5:$B$2000,B114,'GM Roster'!$C$5:$C$2000,C114)</f>
        <v/>
      </c>
      <c r="N114">
        <f>IFERROR(INDEX('Known Players'!$C$5:$C$500,MATCH(B114&amp;"|"&amp;C114,'Known Players'!$F$5:$F$500,0)),"")</f>
        <v/>
      </c>
      <c r="O114">
        <f>IFERROR(INDEX('Known Players'!$D$5:$D$500,MATCH(B114&amp;"|"&amp;C114,'Known Players'!$F$5:$F$500,0)),"")</f>
        <v/>
      </c>
      <c r="P114">
        <f>IFERROR(INDEX('Known Players'!$G$5:$G$500,MATCH(B114&amp;"|"&amp;C114,'Known Players'!$F$5:$F$500,0)),"")</f>
        <v/>
      </c>
    </row>
    <row r="115">
      <c r="A115" t="n">
        <v>52</v>
      </c>
      <c r="B115" t="inlineStr">
        <is>
          <t>Player0847</t>
        </is>
      </c>
      <c r="C115" t="inlineStr">
        <is>
          <t>ExampleWorld097</t>
        </is>
      </c>
      <c r="D115" t="inlineStr">
        <is>
          <t>Alliance</t>
        </is>
      </c>
      <c r="E115" t="n">
        <v>2</v>
      </c>
      <c r="F115" t="n">
        <v>2</v>
      </c>
      <c r="G115" t="n">
        <v>0</v>
      </c>
      <c r="H115" s="5" t="n">
        <v>38.448827</v>
      </c>
      <c r="I115" s="5" t="n">
        <v>1.151947</v>
      </c>
      <c r="M115">
        <f>COUNTIFS($B$5:$B$2000,B115,$C$5:$C$2000,C115)+COUNTIFS('GM Roster'!$B$5:$B$2000,B115,'GM Roster'!$C$5:$C$2000,C115)</f>
        <v/>
      </c>
      <c r="N115">
        <f>IFERROR(INDEX('Known Players'!$C$5:$C$500,MATCH(B115&amp;"|"&amp;C115,'Known Players'!$F$5:$F$500,0)),"")</f>
        <v/>
      </c>
      <c r="O115">
        <f>IFERROR(INDEX('Known Players'!$D$5:$D$500,MATCH(B115&amp;"|"&amp;C115,'Known Players'!$F$5:$F$500,0)),"")</f>
        <v/>
      </c>
      <c r="P115">
        <f>IFERROR(INDEX('Known Players'!$G$5:$G$500,MATCH(B115&amp;"|"&amp;C115,'Known Players'!$F$5:$F$500,0)),"")</f>
        <v/>
      </c>
    </row>
    <row r="116">
      <c r="A116" t="n">
        <v>52</v>
      </c>
      <c r="B116" t="inlineStr">
        <is>
          <t>Player0033</t>
        </is>
      </c>
      <c r="C116" t="inlineStr">
        <is>
          <t>ExampleWorld133</t>
        </is>
      </c>
      <c r="D116" t="inlineStr">
        <is>
          <t>Alliance</t>
        </is>
      </c>
      <c r="E116" t="n">
        <v>10</v>
      </c>
      <c r="F116" t="n">
        <v>10</v>
      </c>
      <c r="G116" t="n">
        <v>0</v>
      </c>
      <c r="H116" s="5" t="n">
        <v>38.448827</v>
      </c>
      <c r="I116" s="5" t="n">
        <v>16.531567</v>
      </c>
      <c r="J116" t="inlineStr">
        <is>
          <t>Carts captured: 2</t>
        </is>
      </c>
      <c r="M116">
        <f>COUNTIFS($B$5:$B$2000,B116,$C$5:$C$2000,C116)+COUNTIFS('GM Roster'!$B$5:$B$2000,B116,'GM Roster'!$C$5:$C$2000,C116)</f>
        <v/>
      </c>
      <c r="N116">
        <f>IFERROR(INDEX('Known Players'!$C$5:$C$500,MATCH(B116&amp;"|"&amp;C116,'Known Players'!$F$5:$F$500,0)),"")</f>
        <v/>
      </c>
      <c r="O116">
        <f>IFERROR(INDEX('Known Players'!$D$5:$D$500,MATCH(B116&amp;"|"&amp;C116,'Known Players'!$F$5:$F$500,0)),"")</f>
        <v/>
      </c>
      <c r="P116">
        <f>IFERROR(INDEX('Known Players'!$G$5:$G$500,MATCH(B116&amp;"|"&amp;C116,'Known Players'!$F$5:$F$500,0)),"")</f>
        <v/>
      </c>
    </row>
    <row r="117">
      <c r="A117" t="n">
        <v>52</v>
      </c>
      <c r="B117" t="inlineStr">
        <is>
          <t>Player0323</t>
        </is>
      </c>
      <c r="C117" t="inlineStr">
        <is>
          <t>ExampleWorld034</t>
        </is>
      </c>
      <c r="D117" t="inlineStr">
        <is>
          <t>Alliance</t>
        </is>
      </c>
      <c r="E117" t="n">
        <v>10</v>
      </c>
      <c r="F117" t="n">
        <v>5</v>
      </c>
      <c r="G117" t="n">
        <v>4</v>
      </c>
      <c r="H117" s="5" t="n">
        <v>35.708827</v>
      </c>
      <c r="I117" s="5" t="n">
        <v>9.133566999999999</v>
      </c>
      <c r="M117">
        <f>COUNTIFS($B$5:$B$2000,B117,$C$5:$C$2000,C117)+COUNTIFS('GM Roster'!$B$5:$B$2000,B117,'GM Roster'!$C$5:$C$2000,C117)</f>
        <v/>
      </c>
      <c r="N117">
        <f>IFERROR(INDEX('Known Players'!$C$5:$C$500,MATCH(B117&amp;"|"&amp;C117,'Known Players'!$F$5:$F$500,0)),"")</f>
        <v/>
      </c>
      <c r="O117">
        <f>IFERROR(INDEX('Known Players'!$D$5:$D$500,MATCH(B117&amp;"|"&amp;C117,'Known Players'!$F$5:$F$500,0)),"")</f>
        <v/>
      </c>
      <c r="P117">
        <f>IFERROR(INDEX('Known Players'!$G$5:$G$500,MATCH(B117&amp;"|"&amp;C117,'Known Players'!$F$5:$F$500,0)),"")</f>
        <v/>
      </c>
    </row>
    <row r="118">
      <c r="A118" t="n">
        <v>52</v>
      </c>
      <c r="B118" t="inlineStr">
        <is>
          <t>Player0717</t>
        </is>
      </c>
      <c r="C118" t="inlineStr">
        <is>
          <t>ExampleWorld176</t>
        </is>
      </c>
      <c r="D118" t="inlineStr">
        <is>
          <t>Alliance</t>
        </is>
      </c>
      <c r="E118" t="n">
        <v>7</v>
      </c>
      <c r="F118" t="n">
        <v>1</v>
      </c>
      <c r="G118" t="n">
        <v>10</v>
      </c>
      <c r="H118" s="5" t="n">
        <v>35.708827</v>
      </c>
      <c r="I118" s="5" t="n">
        <v>8.859567</v>
      </c>
      <c r="J118" t="inlineStr">
        <is>
          <t>Carts captured: 1</t>
        </is>
      </c>
      <c r="M118">
        <f>COUNTIFS($B$5:$B$2000,B118,$C$5:$C$2000,C118)+COUNTIFS('GM Roster'!$B$5:$B$2000,B118,'GM Roster'!$C$5:$C$2000,C118)</f>
        <v/>
      </c>
      <c r="N118">
        <f>IFERROR(INDEX('Known Players'!$C$5:$C$500,MATCH(B118&amp;"|"&amp;C118,'Known Players'!$F$5:$F$500,0)),"")</f>
        <v/>
      </c>
      <c r="O118">
        <f>IFERROR(INDEX('Known Players'!$D$5:$D$500,MATCH(B118&amp;"|"&amp;C118,'Known Players'!$F$5:$F$500,0)),"")</f>
        <v/>
      </c>
      <c r="P118">
        <f>IFERROR(INDEX('Known Players'!$G$5:$G$500,MATCH(B118&amp;"|"&amp;C118,'Known Players'!$F$5:$F$500,0)),"")</f>
        <v/>
      </c>
    </row>
    <row r="119">
      <c r="A119" t="n">
        <v>52</v>
      </c>
      <c r="B119" t="inlineStr">
        <is>
          <t>Player0828</t>
        </is>
      </c>
      <c r="C119" t="inlineStr">
        <is>
          <t>ExampleWorld179</t>
        </is>
      </c>
      <c r="D119" t="inlineStr">
        <is>
          <t>Alliance</t>
        </is>
      </c>
      <c r="E119" t="n">
        <v>10</v>
      </c>
      <c r="F119" t="n">
        <v>9</v>
      </c>
      <c r="G119" t="n">
        <v>7</v>
      </c>
      <c r="H119" s="5" t="n">
        <v>25.296827</v>
      </c>
      <c r="I119" s="5" t="n">
        <v>12.147567</v>
      </c>
      <c r="J119" t="inlineStr">
        <is>
          <t>Carts captured: 1</t>
        </is>
      </c>
      <c r="M119">
        <f>COUNTIFS($B$5:$B$2000,B119,$C$5:$C$2000,C119)+COUNTIFS('GM Roster'!$B$5:$B$2000,B119,'GM Roster'!$C$5:$C$2000,C119)</f>
        <v/>
      </c>
      <c r="N119">
        <f>IFERROR(INDEX('Known Players'!$C$5:$C$500,MATCH(B119&amp;"|"&amp;C119,'Known Players'!$F$5:$F$500,0)),"")</f>
        <v/>
      </c>
      <c r="O119">
        <f>IFERROR(INDEX('Known Players'!$D$5:$D$500,MATCH(B119&amp;"|"&amp;C119,'Known Players'!$F$5:$F$500,0)),"")</f>
        <v/>
      </c>
      <c r="P119">
        <f>IFERROR(INDEX('Known Players'!$G$5:$G$500,MATCH(B119&amp;"|"&amp;C119,'Known Players'!$F$5:$F$500,0)),"")</f>
        <v/>
      </c>
    </row>
    <row r="120">
      <c r="A120" t="n">
        <v>52</v>
      </c>
      <c r="B120" t="inlineStr">
        <is>
          <t>Player0580</t>
        </is>
      </c>
      <c r="C120" t="inlineStr">
        <is>
          <t>PracticeRealm</t>
        </is>
      </c>
      <c r="D120" t="inlineStr">
        <is>
          <t>Alliance</t>
        </is>
      </c>
      <c r="E120" t="n">
        <v>0</v>
      </c>
      <c r="F120" t="n">
        <v>0</v>
      </c>
      <c r="G120" t="n">
        <v>10</v>
      </c>
      <c r="H120" s="5" t="n">
        <v>20.090827</v>
      </c>
      <c r="I120" s="5" t="n">
        <v>7.489567</v>
      </c>
      <c r="J120" t="inlineStr">
        <is>
          <t>Carts captured: 1</t>
        </is>
      </c>
      <c r="M120">
        <f>COUNTIFS($B$5:$B$2000,B120,$C$5:$C$2000,C120)+COUNTIFS('GM Roster'!$B$5:$B$2000,B120,'GM Roster'!$C$5:$C$2000,C120)</f>
        <v/>
      </c>
      <c r="N120">
        <f>IFERROR(INDEX('Known Players'!$C$5:$C$500,MATCH(B120&amp;"|"&amp;C120,'Known Players'!$F$5:$F$500,0)),"")</f>
        <v/>
      </c>
      <c r="O120">
        <f>IFERROR(INDEX('Known Players'!$D$5:$D$500,MATCH(B120&amp;"|"&amp;C120,'Known Players'!$F$5:$F$500,0)),"")</f>
        <v/>
      </c>
      <c r="P120">
        <f>IFERROR(INDEX('Known Players'!$G$5:$G$500,MATCH(B120&amp;"|"&amp;C120,'Known Players'!$F$5:$F$500,0)),"")</f>
        <v/>
      </c>
    </row>
    <row r="121">
      <c r="A121" t="n">
        <v>52</v>
      </c>
      <c r="B121" t="inlineStr">
        <is>
          <t>Player0420</t>
        </is>
      </c>
      <c r="C121" t="inlineStr">
        <is>
          <t>ExampleWorld050</t>
        </is>
      </c>
      <c r="D121" t="inlineStr">
        <is>
          <t>Alliance</t>
        </is>
      </c>
      <c r="E121" t="n">
        <v>10</v>
      </c>
      <c r="F121" t="n">
        <v>3</v>
      </c>
      <c r="G121" t="n">
        <v>4</v>
      </c>
      <c r="H121" s="5" t="n">
        <v>18.720827</v>
      </c>
      <c r="I121" s="5" t="n">
        <v>3.927567</v>
      </c>
      <c r="J121" t="inlineStr">
        <is>
          <t>Carts captured: 2</t>
        </is>
      </c>
      <c r="M121">
        <f>COUNTIFS($B$5:$B$2000,B121,$C$5:$C$2000,C121)+COUNTIFS('GM Roster'!$B$5:$B$2000,B121,'GM Roster'!$C$5:$C$2000,C121)</f>
        <v/>
      </c>
      <c r="N121">
        <f>IFERROR(INDEX('Known Players'!$C$5:$C$500,MATCH(B121&amp;"|"&amp;C121,'Known Players'!$F$5:$F$500,0)),"")</f>
        <v/>
      </c>
      <c r="O121">
        <f>IFERROR(INDEX('Known Players'!$D$5:$D$500,MATCH(B121&amp;"|"&amp;C121,'Known Players'!$F$5:$F$500,0)),"")</f>
        <v/>
      </c>
      <c r="P121">
        <f>IFERROR(INDEX('Known Players'!$G$5:$G$500,MATCH(B121&amp;"|"&amp;C121,'Known Players'!$F$5:$F$500,0)),"")</f>
        <v/>
      </c>
    </row>
    <row r="122">
      <c r="A122" t="n">
        <v>52</v>
      </c>
      <c r="B122" t="inlineStr">
        <is>
          <t>Player0672</t>
        </is>
      </c>
      <c r="C122" t="inlineStr">
        <is>
          <t>ExampleWorld164</t>
        </is>
      </c>
      <c r="D122" t="inlineStr">
        <is>
          <t>Alliance</t>
        </is>
      </c>
      <c r="E122" t="n">
        <v>5</v>
      </c>
      <c r="F122" t="n">
        <v>8</v>
      </c>
      <c r="G122" t="n">
        <v>0</v>
      </c>
      <c r="H122" s="5" t="n">
        <v>18.446827</v>
      </c>
      <c r="I122" s="5" t="n">
        <v>3.105567</v>
      </c>
      <c r="M122">
        <f>COUNTIFS($B$5:$B$2000,B122,$C$5:$C$2000,C122)+COUNTIFS('GM Roster'!$B$5:$B$2000,B122,'GM Roster'!$C$5:$C$2000,C122)</f>
        <v/>
      </c>
      <c r="N122">
        <f>IFERROR(INDEX('Known Players'!$C$5:$C$500,MATCH(B122&amp;"|"&amp;C122,'Known Players'!$F$5:$F$500,0)),"")</f>
        <v/>
      </c>
      <c r="O122">
        <f>IFERROR(INDEX('Known Players'!$D$5:$D$500,MATCH(B122&amp;"|"&amp;C122,'Known Players'!$F$5:$F$500,0)),"")</f>
        <v/>
      </c>
      <c r="P122">
        <f>IFERROR(INDEX('Known Players'!$G$5:$G$500,MATCH(B122&amp;"|"&amp;C122,'Known Players'!$F$5:$F$500,0)),"")</f>
        <v/>
      </c>
    </row>
    <row r="123">
      <c r="A123" t="n">
        <v>52</v>
      </c>
      <c r="B123" t="inlineStr">
        <is>
          <t>Player0114</t>
        </is>
      </c>
      <c r="C123" t="inlineStr">
        <is>
          <t>ExampleWorld005</t>
        </is>
      </c>
      <c r="D123" t="inlineStr">
        <is>
          <t>Alliance</t>
        </is>
      </c>
      <c r="E123" t="n">
        <v>4</v>
      </c>
      <c r="F123" t="n">
        <v>8</v>
      </c>
      <c r="G123" t="n">
        <v>0</v>
      </c>
      <c r="H123" s="5" t="n">
        <v>12.144827</v>
      </c>
      <c r="I123" s="5" t="n">
        <v>54.891567</v>
      </c>
      <c r="M123">
        <f>COUNTIFS($B$5:$B$2000,B123,$C$5:$C$2000,C123)+COUNTIFS('GM Roster'!$B$5:$B$2000,B123,'GM Roster'!$C$5:$C$2000,C123)</f>
        <v/>
      </c>
      <c r="N123">
        <f>IFERROR(INDEX('Known Players'!$C$5:$C$500,MATCH(B123&amp;"|"&amp;C123,'Known Players'!$F$5:$F$500,0)),"")</f>
        <v/>
      </c>
      <c r="O123">
        <f>IFERROR(INDEX('Known Players'!$D$5:$D$500,MATCH(B123&amp;"|"&amp;C123,'Known Players'!$F$5:$F$500,0)),"")</f>
        <v/>
      </c>
      <c r="P123">
        <f>IFERROR(INDEX('Known Players'!$G$5:$G$500,MATCH(B123&amp;"|"&amp;C123,'Known Players'!$F$5:$F$500,0)),"")</f>
        <v/>
      </c>
    </row>
    <row r="124">
      <c r="A124" t="n">
        <v>52</v>
      </c>
      <c r="B124" t="inlineStr">
        <is>
          <t>Player0822</t>
        </is>
      </c>
      <c r="C124" t="inlineStr">
        <is>
          <t>ExampleWorld005</t>
        </is>
      </c>
      <c r="D124" t="inlineStr">
        <is>
          <t>Alliance</t>
        </is>
      </c>
      <c r="E124" t="n">
        <v>7</v>
      </c>
      <c r="F124" t="n">
        <v>2</v>
      </c>
      <c r="G124" t="n">
        <v>0</v>
      </c>
      <c r="H124" s="5" t="n">
        <v>11.322827</v>
      </c>
      <c r="I124" s="5" t="n">
        <v>85.031567</v>
      </c>
      <c r="M124">
        <f>COUNTIFS($B$5:$B$2000,B124,$C$5:$C$2000,C124)+COUNTIFS('GM Roster'!$B$5:$B$2000,B124,'GM Roster'!$C$5:$C$2000,C124)</f>
        <v/>
      </c>
      <c r="N124">
        <f>IFERROR(INDEX('Known Players'!$C$5:$C$500,MATCH(B124&amp;"|"&amp;C124,'Known Players'!$F$5:$F$500,0)),"")</f>
        <v/>
      </c>
      <c r="O124">
        <f>IFERROR(INDEX('Known Players'!$D$5:$D$500,MATCH(B124&amp;"|"&amp;C124,'Known Players'!$F$5:$F$500,0)),"")</f>
        <v/>
      </c>
      <c r="P124">
        <f>IFERROR(INDEX('Known Players'!$G$5:$G$500,MATCH(B124&amp;"|"&amp;C124,'Known Players'!$F$5:$F$500,0)),"")</f>
        <v/>
      </c>
    </row>
    <row r="125">
      <c r="A125" t="n">
        <v>52</v>
      </c>
      <c r="B125" t="inlineStr">
        <is>
          <t>Player0551</t>
        </is>
      </c>
      <c r="C125" t="inlineStr">
        <is>
          <t>ExampleWorld174</t>
        </is>
      </c>
      <c r="D125" t="inlineStr">
        <is>
          <t>Alliance</t>
        </is>
      </c>
      <c r="E125" t="n">
        <v>7</v>
      </c>
      <c r="F125" t="n">
        <v>2</v>
      </c>
      <c r="G125" t="n">
        <v>0</v>
      </c>
      <c r="H125" s="5" t="n">
        <v>6.664827</v>
      </c>
      <c r="I125" s="5" t="n">
        <v>35.711567</v>
      </c>
      <c r="M125">
        <f>COUNTIFS($B$5:$B$2000,B125,$C$5:$C$2000,C125)+COUNTIFS('GM Roster'!$B$5:$B$2000,B125,'GM Roster'!$C$5:$C$2000,C125)</f>
        <v/>
      </c>
      <c r="N125">
        <f>IFERROR(INDEX('Known Players'!$C$5:$C$500,MATCH(B125&amp;"|"&amp;C125,'Known Players'!$F$5:$F$500,0)),"")</f>
        <v/>
      </c>
      <c r="O125">
        <f>IFERROR(INDEX('Known Players'!$D$5:$D$500,MATCH(B125&amp;"|"&amp;C125,'Known Players'!$F$5:$F$500,0)),"")</f>
        <v/>
      </c>
      <c r="P125">
        <f>IFERROR(INDEX('Known Players'!$G$5:$G$500,MATCH(B125&amp;"|"&amp;C125,'Known Players'!$F$5:$F$500,0)),"")</f>
        <v/>
      </c>
    </row>
    <row r="126">
      <c r="A126" t="n">
        <v>52</v>
      </c>
      <c r="B126" t="inlineStr">
        <is>
          <t>Player0141</t>
        </is>
      </c>
      <c r="C126" t="inlineStr">
        <is>
          <t>ExampleWorld125</t>
        </is>
      </c>
      <c r="D126" t="inlineStr">
        <is>
          <t>Alliance</t>
        </is>
      </c>
      <c r="E126" t="n">
        <v>0</v>
      </c>
      <c r="F126" t="n">
        <v>2</v>
      </c>
      <c r="G126" t="n">
        <v>0</v>
      </c>
      <c r="H126" s="5" t="n">
        <v>4.746827</v>
      </c>
      <c r="I126" s="5" t="n">
        <v>1.220447</v>
      </c>
      <c r="M126">
        <f>COUNTIFS($B$5:$B$2000,B126,$C$5:$C$2000,C126)+COUNTIFS('GM Roster'!$B$5:$B$2000,B126,'GM Roster'!$C$5:$C$2000,C126)</f>
        <v/>
      </c>
      <c r="N126">
        <f>IFERROR(INDEX('Known Players'!$C$5:$C$500,MATCH(B126&amp;"|"&amp;C126,'Known Players'!$F$5:$F$500,0)),"")</f>
        <v/>
      </c>
      <c r="O126">
        <f>IFERROR(INDEX('Known Players'!$D$5:$D$500,MATCH(B126&amp;"|"&amp;C126,'Known Players'!$F$5:$F$500,0)),"")</f>
        <v/>
      </c>
      <c r="P126">
        <f>IFERROR(INDEX('Known Players'!$G$5:$G$500,MATCH(B126&amp;"|"&amp;C126,'Known Players'!$F$5:$F$500,0)),"")</f>
        <v/>
      </c>
    </row>
    <row r="127">
      <c r="A127" t="n">
        <v>53</v>
      </c>
      <c r="B127" t="inlineStr">
        <is>
          <t>Player0224</t>
        </is>
      </c>
      <c r="C127" t="inlineStr">
        <is>
          <t>ExampleWorld023</t>
        </is>
      </c>
      <c r="D127" t="inlineStr">
        <is>
          <t>Horde</t>
        </is>
      </c>
      <c r="E127" t="n">
        <v>6</v>
      </c>
      <c r="F127" t="n">
        <v>2</v>
      </c>
      <c r="G127" t="n">
        <v>10</v>
      </c>
      <c r="H127" s="5" t="n">
        <v>90.508827</v>
      </c>
      <c r="I127" s="5" t="n">
        <v>18.449567</v>
      </c>
      <c r="M127">
        <f>COUNTIFS($B$5:$B$2000,B127,$C$5:$C$2000,C127)+COUNTIFS('GM Roster'!$B$5:$B$2000,B127,'GM Roster'!$C$5:$C$2000,C127)</f>
        <v/>
      </c>
      <c r="N127">
        <f>IFERROR(INDEX('Known Players'!$C$5:$C$500,MATCH(B127&amp;"|"&amp;C127,'Known Players'!$F$5:$F$500,0)),"")</f>
        <v/>
      </c>
      <c r="O127">
        <f>IFERROR(INDEX('Known Players'!$D$5:$D$500,MATCH(B127&amp;"|"&amp;C127,'Known Players'!$F$5:$F$500,0)),"")</f>
        <v/>
      </c>
      <c r="P127">
        <f>IFERROR(INDEX('Known Players'!$G$5:$G$500,MATCH(B127&amp;"|"&amp;C127,'Known Players'!$F$5:$F$500,0)),"")</f>
        <v/>
      </c>
    </row>
    <row r="128">
      <c r="A128" t="n">
        <v>53</v>
      </c>
      <c r="B128" t="inlineStr">
        <is>
          <t>Player0628</t>
        </is>
      </c>
      <c r="C128" t="inlineStr">
        <is>
          <t>ExampleWorld174</t>
        </is>
      </c>
      <c r="D128" t="inlineStr">
        <is>
          <t>Horde</t>
        </is>
      </c>
      <c r="E128" t="n">
        <v>9</v>
      </c>
      <c r="F128" t="n">
        <v>2</v>
      </c>
      <c r="G128" t="n">
        <v>7</v>
      </c>
      <c r="H128" s="5" t="n">
        <v>85.02882700000001</v>
      </c>
      <c r="I128" s="5" t="n">
        <v>13.517567</v>
      </c>
      <c r="M128">
        <f>COUNTIFS($B$5:$B$2000,B128,$C$5:$C$2000,C128)+COUNTIFS('GM Roster'!$B$5:$B$2000,B128,'GM Roster'!$C$5:$C$2000,C128)</f>
        <v/>
      </c>
      <c r="N128">
        <f>IFERROR(INDEX('Known Players'!$C$5:$C$500,MATCH(B128&amp;"|"&amp;C128,'Known Players'!$F$5:$F$500,0)),"")</f>
        <v/>
      </c>
      <c r="O128">
        <f>IFERROR(INDEX('Known Players'!$D$5:$D$500,MATCH(B128&amp;"|"&amp;C128,'Known Players'!$F$5:$F$500,0)),"")</f>
        <v/>
      </c>
      <c r="P128">
        <f>IFERROR(INDEX('Known Players'!$G$5:$G$500,MATCH(B128&amp;"|"&amp;C128,'Known Players'!$F$5:$F$500,0)),"")</f>
        <v/>
      </c>
    </row>
    <row r="129">
      <c r="A129" t="n">
        <v>53</v>
      </c>
      <c r="B129" t="inlineStr">
        <is>
          <t>Player0864</t>
        </is>
      </c>
      <c r="C129" t="inlineStr">
        <is>
          <t>ExampleWorld189</t>
        </is>
      </c>
      <c r="D129" t="inlineStr">
        <is>
          <t>Horde</t>
        </is>
      </c>
      <c r="E129" t="n">
        <v>10</v>
      </c>
      <c r="F129" t="n">
        <v>3</v>
      </c>
      <c r="G129" t="n">
        <v>7</v>
      </c>
      <c r="H129" s="5" t="n">
        <v>82.288827</v>
      </c>
      <c r="I129" s="5" t="n">
        <v>9.681566999999999</v>
      </c>
      <c r="M129">
        <f>COUNTIFS($B$5:$B$2000,B129,$C$5:$C$2000,C129)+COUNTIFS('GM Roster'!$B$5:$B$2000,B129,'GM Roster'!$C$5:$C$2000,C129)</f>
        <v/>
      </c>
      <c r="N129">
        <f>IFERROR(INDEX('Known Players'!$C$5:$C$500,MATCH(B129&amp;"|"&amp;C129,'Known Players'!$F$5:$F$500,0)),"")</f>
        <v/>
      </c>
      <c r="O129">
        <f>IFERROR(INDEX('Known Players'!$D$5:$D$500,MATCH(B129&amp;"|"&amp;C129,'Known Players'!$F$5:$F$500,0)),"")</f>
        <v/>
      </c>
      <c r="P129">
        <f>IFERROR(INDEX('Known Players'!$G$5:$G$500,MATCH(B129&amp;"|"&amp;C129,'Known Players'!$F$5:$F$500,0)),"")</f>
        <v/>
      </c>
    </row>
    <row r="130">
      <c r="A130" t="n">
        <v>53</v>
      </c>
      <c r="B130" t="inlineStr">
        <is>
          <t>Player0681</t>
        </is>
      </c>
      <c r="C130" t="inlineStr">
        <is>
          <t>PracticeRealm</t>
        </is>
      </c>
      <c r="D130" t="inlineStr">
        <is>
          <t>Horde</t>
        </is>
      </c>
      <c r="E130" t="n">
        <v>2</v>
      </c>
      <c r="F130" t="n">
        <v>10</v>
      </c>
      <c r="G130" t="n">
        <v>10</v>
      </c>
      <c r="H130" s="5" t="n">
        <v>54.888827</v>
      </c>
      <c r="I130" s="5" t="n">
        <v>16.531567</v>
      </c>
      <c r="M130">
        <f>COUNTIFS($B$5:$B$2000,B130,$C$5:$C$2000,C130)+COUNTIFS('GM Roster'!$B$5:$B$2000,B130,'GM Roster'!$C$5:$C$2000,C130)</f>
        <v/>
      </c>
      <c r="N130">
        <f>IFERROR(INDEX('Known Players'!$C$5:$C$500,MATCH(B130&amp;"|"&amp;C130,'Known Players'!$F$5:$F$500,0)),"")</f>
        <v/>
      </c>
      <c r="O130">
        <f>IFERROR(INDEX('Known Players'!$D$5:$D$500,MATCH(B130&amp;"|"&amp;C130,'Known Players'!$F$5:$F$500,0)),"")</f>
        <v/>
      </c>
      <c r="P130">
        <f>IFERROR(INDEX('Known Players'!$G$5:$G$500,MATCH(B130&amp;"|"&amp;C130,'Known Players'!$F$5:$F$500,0)),"")</f>
        <v/>
      </c>
    </row>
    <row r="131">
      <c r="A131" t="n">
        <v>53</v>
      </c>
      <c r="B131" t="inlineStr">
        <is>
          <t>Player0119</t>
        </is>
      </c>
      <c r="C131" t="inlineStr">
        <is>
          <t>ExampleWorld104</t>
        </is>
      </c>
      <c r="D131" t="inlineStr">
        <is>
          <t>Horde</t>
        </is>
      </c>
      <c r="E131" t="n">
        <v>1</v>
      </c>
      <c r="F131" t="n">
        <v>6</v>
      </c>
      <c r="G131" t="n">
        <v>2</v>
      </c>
      <c r="H131" s="5" t="n">
        <v>49.408827</v>
      </c>
      <c r="I131" s="5" t="n">
        <v>11.051567</v>
      </c>
      <c r="M131">
        <f>COUNTIFS($B$5:$B$2000,B131,$C$5:$C$2000,C131)+COUNTIFS('GM Roster'!$B$5:$B$2000,B131,'GM Roster'!$C$5:$C$2000,C131)</f>
        <v/>
      </c>
      <c r="N131">
        <f>IFERROR(INDEX('Known Players'!$C$5:$C$500,MATCH(B131&amp;"|"&amp;C131,'Known Players'!$F$5:$F$500,0)),"")</f>
        <v/>
      </c>
      <c r="O131">
        <f>IFERROR(INDEX('Known Players'!$D$5:$D$500,MATCH(B131&amp;"|"&amp;C131,'Known Players'!$F$5:$F$500,0)),"")</f>
        <v/>
      </c>
      <c r="P131">
        <f>IFERROR(INDEX('Known Players'!$G$5:$G$500,MATCH(B131&amp;"|"&amp;C131,'Known Players'!$F$5:$F$500,0)),"")</f>
        <v/>
      </c>
    </row>
    <row r="132">
      <c r="A132" t="n">
        <v>53</v>
      </c>
      <c r="B132" t="inlineStr">
        <is>
          <t>Player0802</t>
        </is>
      </c>
      <c r="C132" t="inlineStr">
        <is>
          <t>ExampleWorld023</t>
        </is>
      </c>
      <c r="D132" t="inlineStr">
        <is>
          <t>Horde</t>
        </is>
      </c>
      <c r="E132" t="n">
        <v>4</v>
      </c>
      <c r="F132" t="n">
        <v>8</v>
      </c>
      <c r="G132" t="n">
        <v>7</v>
      </c>
      <c r="H132" s="5" t="n">
        <v>46.668827</v>
      </c>
      <c r="I132" s="5" t="n">
        <v>8.037566999999999</v>
      </c>
      <c r="J132" t="inlineStr">
        <is>
          <t>Carts captured: 1</t>
        </is>
      </c>
      <c r="M132">
        <f>COUNTIFS($B$5:$B$2000,B132,$C$5:$C$2000,C132)+COUNTIFS('GM Roster'!$B$5:$B$2000,B132,'GM Roster'!$C$5:$C$2000,C132)</f>
        <v/>
      </c>
      <c r="N132">
        <f>IFERROR(INDEX('Known Players'!$C$5:$C$500,MATCH(B132&amp;"|"&amp;C132,'Known Players'!$F$5:$F$500,0)),"")</f>
        <v/>
      </c>
      <c r="O132">
        <f>IFERROR(INDEX('Known Players'!$D$5:$D$500,MATCH(B132&amp;"|"&amp;C132,'Known Players'!$F$5:$F$500,0)),"")</f>
        <v/>
      </c>
      <c r="P132">
        <f>IFERROR(INDEX('Known Players'!$G$5:$G$500,MATCH(B132&amp;"|"&amp;C132,'Known Players'!$F$5:$F$500,0)),"")</f>
        <v/>
      </c>
    </row>
    <row r="133">
      <c r="A133" t="n">
        <v>53</v>
      </c>
      <c r="B133" t="inlineStr">
        <is>
          <t>Player0390</t>
        </is>
      </c>
      <c r="C133" t="inlineStr">
        <is>
          <t>ExampleWorld138</t>
        </is>
      </c>
      <c r="D133" t="inlineStr">
        <is>
          <t>Horde</t>
        </is>
      </c>
      <c r="E133" t="n">
        <v>5</v>
      </c>
      <c r="F133" t="n">
        <v>5</v>
      </c>
      <c r="G133" t="n">
        <v>2</v>
      </c>
      <c r="H133" s="5" t="n">
        <v>38.448827</v>
      </c>
      <c r="I133" s="5" t="n">
        <v>16.257567</v>
      </c>
      <c r="M133">
        <f>COUNTIFS($B$5:$B$2000,B133,$C$5:$C$2000,C133)+COUNTIFS('GM Roster'!$B$5:$B$2000,B133,'GM Roster'!$C$5:$C$2000,C133)</f>
        <v/>
      </c>
      <c r="N133">
        <f>IFERROR(INDEX('Known Players'!$C$5:$C$500,MATCH(B133&amp;"|"&amp;C133,'Known Players'!$F$5:$F$500,0)),"")</f>
        <v/>
      </c>
      <c r="O133">
        <f>IFERROR(INDEX('Known Players'!$D$5:$D$500,MATCH(B133&amp;"|"&amp;C133,'Known Players'!$F$5:$F$500,0)),"")</f>
        <v/>
      </c>
      <c r="P133">
        <f>IFERROR(INDEX('Known Players'!$G$5:$G$500,MATCH(B133&amp;"|"&amp;C133,'Known Players'!$F$5:$F$500,0)),"")</f>
        <v/>
      </c>
    </row>
    <row r="134">
      <c r="A134" t="n">
        <v>53</v>
      </c>
      <c r="B134" t="inlineStr">
        <is>
          <t>Asterknight</t>
        </is>
      </c>
      <c r="C134" t="inlineStr">
        <is>
          <t>exampleworld001</t>
        </is>
      </c>
      <c r="D134" t="inlineStr">
        <is>
          <t>Horde</t>
        </is>
      </c>
      <c r="E134" t="n">
        <v>0</v>
      </c>
      <c r="F134" t="n">
        <v>7</v>
      </c>
      <c r="G134" t="n">
        <v>10</v>
      </c>
      <c r="H134" s="5" t="n">
        <v>39.681827</v>
      </c>
      <c r="I134" s="5" t="n">
        <v>12.695567</v>
      </c>
      <c r="M134">
        <f>COUNTIFS($B$5:$B$2000,B134,$C$5:$C$2000,C134)+COUNTIFS('GM Roster'!$B$5:$B$2000,B134,'GM Roster'!$C$5:$C$2000,C134)</f>
        <v/>
      </c>
      <c r="N134">
        <f>IFERROR(INDEX('Known Players'!$C$5:$C$500,MATCH(B134&amp;"|"&amp;C134,'Known Players'!$F$5:$F$500,0)),"")</f>
        <v/>
      </c>
      <c r="O134">
        <f>IFERROR(INDEX('Known Players'!$D$5:$D$500,MATCH(B134&amp;"|"&amp;C134,'Known Players'!$F$5:$F$500,0)),"")</f>
        <v/>
      </c>
      <c r="P134">
        <f>IFERROR(INDEX('Known Players'!$G$5:$G$500,MATCH(B134&amp;"|"&amp;C134,'Known Players'!$F$5:$F$500,0)),"")</f>
        <v/>
      </c>
    </row>
    <row r="135">
      <c r="A135" t="n">
        <v>53</v>
      </c>
      <c r="B135" t="inlineStr">
        <is>
          <t>Player0046</t>
        </is>
      </c>
      <c r="C135" t="inlineStr">
        <is>
          <t>ExampleWorld174</t>
        </is>
      </c>
      <c r="D135" t="inlineStr">
        <is>
          <t>Horde</t>
        </is>
      </c>
      <c r="E135" t="n">
        <v>2</v>
      </c>
      <c r="F135" t="n">
        <v>8</v>
      </c>
      <c r="G135" t="n">
        <v>2</v>
      </c>
      <c r="H135" s="5" t="n">
        <v>30.228827</v>
      </c>
      <c r="I135" s="5" t="n">
        <v>8.859567</v>
      </c>
      <c r="M135">
        <f>COUNTIFS($B$5:$B$2000,B135,$C$5:$C$2000,C135)+COUNTIFS('GM Roster'!$B$5:$B$2000,B135,'GM Roster'!$C$5:$C$2000,C135)</f>
        <v/>
      </c>
      <c r="N135">
        <f>IFERROR(INDEX('Known Players'!$C$5:$C$500,MATCH(B135&amp;"|"&amp;C135,'Known Players'!$F$5:$F$500,0)),"")</f>
        <v/>
      </c>
      <c r="O135">
        <f>IFERROR(INDEX('Known Players'!$D$5:$D$500,MATCH(B135&amp;"|"&amp;C135,'Known Players'!$F$5:$F$500,0)),"")</f>
        <v/>
      </c>
      <c r="P135">
        <f>IFERROR(INDEX('Known Players'!$G$5:$G$500,MATCH(B135&amp;"|"&amp;C135,'Known Players'!$F$5:$F$500,0)),"")</f>
        <v/>
      </c>
    </row>
    <row r="136">
      <c r="A136" t="n">
        <v>53</v>
      </c>
      <c r="B136" t="inlineStr">
        <is>
          <t>Player0294</t>
        </is>
      </c>
      <c r="C136" t="inlineStr">
        <is>
          <t>ExampleWorld047</t>
        </is>
      </c>
      <c r="D136" t="inlineStr">
        <is>
          <t>Horde</t>
        </is>
      </c>
      <c r="E136" t="n">
        <v>10</v>
      </c>
      <c r="F136" t="n">
        <v>5</v>
      </c>
      <c r="G136" t="n">
        <v>4</v>
      </c>
      <c r="H136" s="5" t="n">
        <v>30.228827</v>
      </c>
      <c r="I136" s="5" t="n">
        <v>7.489567</v>
      </c>
      <c r="M136">
        <f>COUNTIFS($B$5:$B$2000,B136,$C$5:$C$2000,C136)+COUNTIFS('GM Roster'!$B$5:$B$2000,B136,'GM Roster'!$C$5:$C$2000,C136)</f>
        <v/>
      </c>
      <c r="N136">
        <f>IFERROR(INDEX('Known Players'!$C$5:$C$500,MATCH(B136&amp;"|"&amp;C136,'Known Players'!$F$5:$F$500,0)),"")</f>
        <v/>
      </c>
      <c r="O136">
        <f>IFERROR(INDEX('Known Players'!$D$5:$D$500,MATCH(B136&amp;"|"&amp;C136,'Known Players'!$F$5:$F$500,0)),"")</f>
        <v/>
      </c>
      <c r="P136">
        <f>IFERROR(INDEX('Known Players'!$G$5:$G$500,MATCH(B136&amp;"|"&amp;C136,'Known Players'!$F$5:$F$500,0)),"")</f>
        <v/>
      </c>
    </row>
    <row r="137">
      <c r="A137" t="n">
        <v>53</v>
      </c>
      <c r="B137" t="inlineStr">
        <is>
          <t>Thornpaw</t>
        </is>
      </c>
      <c r="C137" t="inlineStr">
        <is>
          <t>SandboxRealm</t>
        </is>
      </c>
      <c r="D137" t="inlineStr">
        <is>
          <t>Horde</t>
        </is>
      </c>
      <c r="E137" t="n">
        <v>7</v>
      </c>
      <c r="F137" t="n">
        <v>2</v>
      </c>
      <c r="G137" t="n">
        <v>2</v>
      </c>
      <c r="H137" s="5" t="n">
        <v>26.940827</v>
      </c>
      <c r="I137" s="5" t="n">
        <v>8.585566999999999</v>
      </c>
      <c r="M137">
        <f>COUNTIFS($B$5:$B$2000,B137,$C$5:$C$2000,C137)+COUNTIFS('GM Roster'!$B$5:$B$2000,B137,'GM Roster'!$C$5:$C$2000,C137)</f>
        <v/>
      </c>
      <c r="N137">
        <f>IFERROR(INDEX('Known Players'!$C$5:$C$500,MATCH(B137&amp;"|"&amp;C137,'Known Players'!$F$5:$F$500,0)),"")</f>
        <v/>
      </c>
      <c r="O137">
        <f>IFERROR(INDEX('Known Players'!$D$5:$D$500,MATCH(B137&amp;"|"&amp;C137,'Known Players'!$F$5:$F$500,0)),"")</f>
        <v/>
      </c>
      <c r="P137">
        <f>IFERROR(INDEX('Known Players'!$G$5:$G$500,MATCH(B137&amp;"|"&amp;C137,'Known Players'!$F$5:$F$500,0)),"")</f>
        <v/>
      </c>
    </row>
    <row r="138">
      <c r="A138" t="n">
        <v>53</v>
      </c>
      <c r="B138" t="inlineStr">
        <is>
          <t>Player0097</t>
        </is>
      </c>
      <c r="C138" t="inlineStr">
        <is>
          <t>ExampleWorld164</t>
        </is>
      </c>
      <c r="D138" t="inlineStr">
        <is>
          <t>Horde</t>
        </is>
      </c>
      <c r="E138" t="n">
        <v>4</v>
      </c>
      <c r="F138" t="n">
        <v>4</v>
      </c>
      <c r="G138" t="n">
        <v>10</v>
      </c>
      <c r="H138" s="5" t="n">
        <v>14.062827</v>
      </c>
      <c r="I138" s="5" t="n">
        <v>27.491567</v>
      </c>
      <c r="M138">
        <f>COUNTIFS($B$5:$B$2000,B138,$C$5:$C$2000,C138)+COUNTIFS('GM Roster'!$B$5:$B$2000,B138,'GM Roster'!$C$5:$C$2000,C138)</f>
        <v/>
      </c>
      <c r="N138">
        <f>IFERROR(INDEX('Known Players'!$C$5:$C$500,MATCH(B138&amp;"|"&amp;C138,'Known Players'!$F$5:$F$500,0)),"")</f>
        <v/>
      </c>
      <c r="O138">
        <f>IFERROR(INDEX('Known Players'!$D$5:$D$500,MATCH(B138&amp;"|"&amp;C138,'Known Players'!$F$5:$F$500,0)),"")</f>
        <v/>
      </c>
      <c r="P138">
        <f>IFERROR(INDEX('Known Players'!$G$5:$G$500,MATCH(B138&amp;"|"&amp;C138,'Known Players'!$F$5:$F$500,0)),"")</f>
        <v/>
      </c>
    </row>
    <row r="139">
      <c r="A139" t="n">
        <v>53</v>
      </c>
      <c r="B139" t="inlineStr">
        <is>
          <t>Player0196</t>
        </is>
      </c>
      <c r="C139" t="inlineStr">
        <is>
          <t>ExampleWorld023</t>
        </is>
      </c>
      <c r="D139" t="inlineStr">
        <is>
          <t>Horde</t>
        </is>
      </c>
      <c r="E139" t="n">
        <v>0</v>
      </c>
      <c r="F139" t="n">
        <v>6</v>
      </c>
      <c r="G139" t="n">
        <v>4</v>
      </c>
      <c r="H139" s="5" t="n">
        <v>14.062827</v>
      </c>
      <c r="I139" s="5" t="n">
        <v>93.25156699999999</v>
      </c>
      <c r="M139">
        <f>COUNTIFS($B$5:$B$2000,B139,$C$5:$C$2000,C139)+COUNTIFS('GM Roster'!$B$5:$B$2000,B139,'GM Roster'!$C$5:$C$2000,C139)</f>
        <v/>
      </c>
      <c r="N139">
        <f>IFERROR(INDEX('Known Players'!$C$5:$C$500,MATCH(B139&amp;"|"&amp;C139,'Known Players'!$F$5:$F$500,0)),"")</f>
        <v/>
      </c>
      <c r="O139">
        <f>IFERROR(INDEX('Known Players'!$D$5:$D$500,MATCH(B139&amp;"|"&amp;C139,'Known Players'!$F$5:$F$500,0)),"")</f>
        <v/>
      </c>
      <c r="P139">
        <f>IFERROR(INDEX('Known Players'!$G$5:$G$500,MATCH(B139&amp;"|"&amp;C139,'Known Players'!$F$5:$F$500,0)),"")</f>
        <v/>
      </c>
    </row>
    <row r="140">
      <c r="A140" t="n">
        <v>53</v>
      </c>
      <c r="B140" t="inlineStr">
        <is>
          <t>Player0433</t>
        </is>
      </c>
      <c r="C140" t="inlineStr">
        <is>
          <t>ExampleWorld150</t>
        </is>
      </c>
      <c r="D140" t="inlineStr">
        <is>
          <t>Horde</t>
        </is>
      </c>
      <c r="E140" t="n">
        <v>7</v>
      </c>
      <c r="F140" t="n">
        <v>10</v>
      </c>
      <c r="G140" t="n">
        <v>0</v>
      </c>
      <c r="H140" s="5" t="n">
        <v>12.692827</v>
      </c>
      <c r="I140" s="5" t="n">
        <v>76.811567</v>
      </c>
      <c r="M140">
        <f>COUNTIFS($B$5:$B$2000,B140,$C$5:$C$2000,C140)+COUNTIFS('GM Roster'!$B$5:$B$2000,B140,'GM Roster'!$C$5:$C$2000,C140)</f>
        <v/>
      </c>
      <c r="N140">
        <f>IFERROR(INDEX('Known Players'!$C$5:$C$500,MATCH(B140&amp;"|"&amp;C140,'Known Players'!$F$5:$F$500,0)),"")</f>
        <v/>
      </c>
      <c r="O140">
        <f>IFERROR(INDEX('Known Players'!$D$5:$D$500,MATCH(B140&amp;"|"&amp;C140,'Known Players'!$F$5:$F$500,0)),"")</f>
        <v/>
      </c>
      <c r="P140">
        <f>IFERROR(INDEX('Known Players'!$G$5:$G$500,MATCH(B140&amp;"|"&amp;C140,'Known Players'!$F$5:$F$500,0)),"")</f>
        <v/>
      </c>
    </row>
    <row r="141">
      <c r="A141" t="n">
        <v>53</v>
      </c>
      <c r="B141" t="inlineStr">
        <is>
          <t>Player0613</t>
        </is>
      </c>
      <c r="C141" t="inlineStr">
        <is>
          <t>ExampleWorld173</t>
        </is>
      </c>
      <c r="D141" t="inlineStr">
        <is>
          <t>Horde</t>
        </is>
      </c>
      <c r="E141" t="n">
        <v>7</v>
      </c>
      <c r="F141" t="n">
        <v>8</v>
      </c>
      <c r="G141" t="n">
        <v>4</v>
      </c>
      <c r="H141" s="5" t="n">
        <v>7.212827</v>
      </c>
      <c r="I141" s="5" t="n">
        <v>117.911567</v>
      </c>
      <c r="M141">
        <f>COUNTIFS($B$5:$B$2000,B141,$C$5:$C$2000,C141)+COUNTIFS('GM Roster'!$B$5:$B$2000,B141,'GM Roster'!$C$5:$C$2000,C141)</f>
        <v/>
      </c>
      <c r="N141">
        <f>IFERROR(INDEX('Known Players'!$C$5:$C$500,MATCH(B141&amp;"|"&amp;C141,'Known Players'!$F$5:$F$500,0)),"")</f>
        <v/>
      </c>
      <c r="O141">
        <f>IFERROR(INDEX('Known Players'!$D$5:$D$500,MATCH(B141&amp;"|"&amp;C141,'Known Players'!$F$5:$F$500,0)),"")</f>
        <v/>
      </c>
      <c r="P141">
        <f>IFERROR(INDEX('Known Players'!$G$5:$G$500,MATCH(B141&amp;"|"&amp;C141,'Known Players'!$F$5:$F$500,0)),"")</f>
        <v/>
      </c>
    </row>
    <row r="142">
      <c r="A142" t="n">
        <v>53</v>
      </c>
      <c r="B142" t="inlineStr">
        <is>
          <t>Player0768</t>
        </is>
      </c>
      <c r="C142" t="inlineStr">
        <is>
          <t>ExampleWorld150</t>
        </is>
      </c>
      <c r="D142" t="inlineStr">
        <is>
          <t>Alliance</t>
        </is>
      </c>
      <c r="E142" t="n">
        <v>6</v>
      </c>
      <c r="F142" t="n">
        <v>3</v>
      </c>
      <c r="G142" t="n">
        <v>8</v>
      </c>
      <c r="H142" s="5" t="n">
        <v>90.508827</v>
      </c>
      <c r="I142" s="5" t="n">
        <v>11.873567</v>
      </c>
      <c r="M142">
        <f>COUNTIFS($B$5:$B$2000,B142,$C$5:$C$2000,C142)+COUNTIFS('GM Roster'!$B$5:$B$2000,B142,'GM Roster'!$C$5:$C$2000,C142)</f>
        <v/>
      </c>
      <c r="N142">
        <f>IFERROR(INDEX('Known Players'!$C$5:$C$500,MATCH(B142&amp;"|"&amp;C142,'Known Players'!$F$5:$F$500,0)),"")</f>
        <v/>
      </c>
      <c r="O142">
        <f>IFERROR(INDEX('Known Players'!$D$5:$D$500,MATCH(B142&amp;"|"&amp;C142,'Known Players'!$F$5:$F$500,0)),"")</f>
        <v/>
      </c>
      <c r="P142">
        <f>IFERROR(INDEX('Known Players'!$G$5:$G$500,MATCH(B142&amp;"|"&amp;C142,'Known Players'!$F$5:$F$500,0)),"")</f>
        <v/>
      </c>
    </row>
    <row r="143">
      <c r="A143" t="n">
        <v>53</v>
      </c>
      <c r="B143" t="inlineStr">
        <is>
          <t>Player0452</t>
        </is>
      </c>
      <c r="C143" t="inlineStr">
        <is>
          <t>ExampleWorld150</t>
        </is>
      </c>
      <c r="D143" t="inlineStr">
        <is>
          <t>Alliance</t>
        </is>
      </c>
      <c r="E143" t="n">
        <v>4</v>
      </c>
      <c r="F143" t="n">
        <v>10</v>
      </c>
      <c r="G143" t="n">
        <v>8</v>
      </c>
      <c r="H143" s="5" t="n">
        <v>68.58882699999999</v>
      </c>
      <c r="I143" s="5" t="n">
        <v>12.421567</v>
      </c>
      <c r="M143">
        <f>COUNTIFS($B$5:$B$2000,B143,$C$5:$C$2000,C143)+COUNTIFS('GM Roster'!$B$5:$B$2000,B143,'GM Roster'!$C$5:$C$2000,C143)</f>
        <v/>
      </c>
      <c r="N143">
        <f>IFERROR(INDEX('Known Players'!$C$5:$C$500,MATCH(B143&amp;"|"&amp;C143,'Known Players'!$F$5:$F$500,0)),"")</f>
        <v/>
      </c>
      <c r="O143">
        <f>IFERROR(INDEX('Known Players'!$D$5:$D$500,MATCH(B143&amp;"|"&amp;C143,'Known Players'!$F$5:$F$500,0)),"")</f>
        <v/>
      </c>
      <c r="P143">
        <f>IFERROR(INDEX('Known Players'!$G$5:$G$500,MATCH(B143&amp;"|"&amp;C143,'Known Players'!$F$5:$F$500,0)),"")</f>
        <v/>
      </c>
    </row>
    <row r="144">
      <c r="A144" t="n">
        <v>53</v>
      </c>
      <c r="B144" t="inlineStr">
        <is>
          <t>Player0459</t>
        </is>
      </c>
      <c r="C144" t="inlineStr">
        <is>
          <t>ExampleWorld150</t>
        </is>
      </c>
      <c r="D144" t="inlineStr">
        <is>
          <t>Alliance</t>
        </is>
      </c>
      <c r="E144" t="n">
        <v>4</v>
      </c>
      <c r="F144" t="n">
        <v>4</v>
      </c>
      <c r="G144" t="n">
        <v>5</v>
      </c>
      <c r="H144" s="5" t="n">
        <v>60.368827</v>
      </c>
      <c r="I144" s="5" t="n">
        <v>30.231567</v>
      </c>
      <c r="M144">
        <f>COUNTIFS($B$5:$B$2000,B144,$C$5:$C$2000,C144)+COUNTIFS('GM Roster'!$B$5:$B$2000,B144,'GM Roster'!$C$5:$C$2000,C144)</f>
        <v/>
      </c>
      <c r="N144">
        <f>IFERROR(INDEX('Known Players'!$C$5:$C$500,MATCH(B144&amp;"|"&amp;C144,'Known Players'!$F$5:$F$500,0)),"")</f>
        <v/>
      </c>
      <c r="O144">
        <f>IFERROR(INDEX('Known Players'!$D$5:$D$500,MATCH(B144&amp;"|"&amp;C144,'Known Players'!$F$5:$F$500,0)),"")</f>
        <v/>
      </c>
      <c r="P144">
        <f>IFERROR(INDEX('Known Players'!$G$5:$G$500,MATCH(B144&amp;"|"&amp;C144,'Known Players'!$F$5:$F$500,0)),"")</f>
        <v/>
      </c>
    </row>
    <row r="145">
      <c r="A145" t="n">
        <v>53</v>
      </c>
      <c r="B145" t="inlineStr">
        <is>
          <t>Player0136</t>
        </is>
      </c>
      <c r="C145" t="inlineStr">
        <is>
          <t>ExampleWorld164</t>
        </is>
      </c>
      <c r="D145" t="inlineStr">
        <is>
          <t>Alliance</t>
        </is>
      </c>
      <c r="E145" t="n">
        <v>5</v>
      </c>
      <c r="F145" t="n">
        <v>8</v>
      </c>
      <c r="G145" t="n">
        <v>6</v>
      </c>
      <c r="H145" s="5" t="n">
        <v>54.888827</v>
      </c>
      <c r="I145" s="5" t="n">
        <v>11.599567</v>
      </c>
      <c r="M145">
        <f>COUNTIFS($B$5:$B$2000,B145,$C$5:$C$2000,C145)+COUNTIFS('GM Roster'!$B$5:$B$2000,B145,'GM Roster'!$C$5:$C$2000,C145)</f>
        <v/>
      </c>
      <c r="N145">
        <f>IFERROR(INDEX('Known Players'!$C$5:$C$500,MATCH(B145&amp;"|"&amp;C145,'Known Players'!$F$5:$F$500,0)),"")</f>
        <v/>
      </c>
      <c r="O145">
        <f>IFERROR(INDEX('Known Players'!$D$5:$D$500,MATCH(B145&amp;"|"&amp;C145,'Known Players'!$F$5:$F$500,0)),"")</f>
        <v/>
      </c>
      <c r="P145">
        <f>IFERROR(INDEX('Known Players'!$G$5:$G$500,MATCH(B145&amp;"|"&amp;C145,'Known Players'!$F$5:$F$500,0)),"")</f>
        <v/>
      </c>
    </row>
    <row r="146">
      <c r="A146" t="n">
        <v>53</v>
      </c>
      <c r="B146" t="inlineStr">
        <is>
          <t>Player0315</t>
        </is>
      </c>
      <c r="C146" t="inlineStr">
        <is>
          <t>ExampleWorld174</t>
        </is>
      </c>
      <c r="D146" t="inlineStr">
        <is>
          <t>Alliance</t>
        </is>
      </c>
      <c r="E146" t="n">
        <v>10</v>
      </c>
      <c r="F146" t="n">
        <v>0</v>
      </c>
      <c r="G146" t="n">
        <v>5</v>
      </c>
      <c r="H146" s="5" t="n">
        <v>46.668827</v>
      </c>
      <c r="I146" s="5" t="n">
        <v>27.491567</v>
      </c>
      <c r="M146">
        <f>COUNTIFS($B$5:$B$2000,B146,$C$5:$C$2000,C146)+COUNTIFS('GM Roster'!$B$5:$B$2000,B146,'GM Roster'!$C$5:$C$2000,C146)</f>
        <v/>
      </c>
      <c r="N146">
        <f>IFERROR(INDEX('Known Players'!$C$5:$C$500,MATCH(B146&amp;"|"&amp;C146,'Known Players'!$F$5:$F$500,0)),"")</f>
        <v/>
      </c>
      <c r="O146">
        <f>IFERROR(INDEX('Known Players'!$D$5:$D$500,MATCH(B146&amp;"|"&amp;C146,'Known Players'!$F$5:$F$500,0)),"")</f>
        <v/>
      </c>
      <c r="P146">
        <f>IFERROR(INDEX('Known Players'!$G$5:$G$500,MATCH(B146&amp;"|"&amp;C146,'Known Players'!$F$5:$F$500,0)),"")</f>
        <v/>
      </c>
    </row>
    <row r="147">
      <c r="A147" t="n">
        <v>53</v>
      </c>
      <c r="B147" t="inlineStr">
        <is>
          <t>Player0883</t>
        </is>
      </c>
      <c r="C147" t="inlineStr">
        <is>
          <t>ExampleWorld150</t>
        </is>
      </c>
      <c r="D147" t="inlineStr">
        <is>
          <t>Alliance</t>
        </is>
      </c>
      <c r="E147" t="n">
        <v>10</v>
      </c>
      <c r="F147" t="n">
        <v>10</v>
      </c>
      <c r="G147" t="n">
        <v>0</v>
      </c>
      <c r="H147" s="5" t="n">
        <v>46.668827</v>
      </c>
      <c r="I147" s="5" t="n">
        <v>11.051567</v>
      </c>
      <c r="M147">
        <f>COUNTIFS($B$5:$B$2000,B147,$C$5:$C$2000,C147)+COUNTIFS('GM Roster'!$B$5:$B$2000,B147,'GM Roster'!$C$5:$C$2000,C147)</f>
        <v/>
      </c>
      <c r="N147">
        <f>IFERROR(INDEX('Known Players'!$C$5:$C$500,MATCH(B147&amp;"|"&amp;C147,'Known Players'!$F$5:$F$500,0)),"")</f>
        <v/>
      </c>
      <c r="O147">
        <f>IFERROR(INDEX('Known Players'!$D$5:$D$500,MATCH(B147&amp;"|"&amp;C147,'Known Players'!$F$5:$F$500,0)),"")</f>
        <v/>
      </c>
      <c r="P147">
        <f>IFERROR(INDEX('Known Players'!$G$5:$G$500,MATCH(B147&amp;"|"&amp;C147,'Known Players'!$F$5:$F$500,0)),"")</f>
        <v/>
      </c>
    </row>
    <row r="148">
      <c r="A148" t="n">
        <v>53</v>
      </c>
      <c r="B148" t="inlineStr">
        <is>
          <t>Player0698</t>
        </is>
      </c>
      <c r="C148" t="inlineStr">
        <is>
          <t>ExampleWorld023</t>
        </is>
      </c>
      <c r="D148" t="inlineStr">
        <is>
          <t>Alliance</t>
        </is>
      </c>
      <c r="E148" t="n">
        <v>4</v>
      </c>
      <c r="F148" t="n">
        <v>8</v>
      </c>
      <c r="G148" t="n">
        <v>5</v>
      </c>
      <c r="H148" s="5" t="n">
        <v>43.928827</v>
      </c>
      <c r="I148" s="5" t="n">
        <v>14.613567</v>
      </c>
      <c r="M148">
        <f>COUNTIFS($B$5:$B$2000,B148,$C$5:$C$2000,C148)+COUNTIFS('GM Roster'!$B$5:$B$2000,B148,'GM Roster'!$C$5:$C$2000,C148)</f>
        <v/>
      </c>
      <c r="N148">
        <f>IFERROR(INDEX('Known Players'!$C$5:$C$500,MATCH(B148&amp;"|"&amp;C148,'Known Players'!$F$5:$F$500,0)),"")</f>
        <v/>
      </c>
      <c r="O148">
        <f>IFERROR(INDEX('Known Players'!$D$5:$D$500,MATCH(B148&amp;"|"&amp;C148,'Known Players'!$F$5:$F$500,0)),"")</f>
        <v/>
      </c>
      <c r="P148">
        <f>IFERROR(INDEX('Known Players'!$G$5:$G$500,MATCH(B148&amp;"|"&amp;C148,'Known Players'!$F$5:$F$500,0)),"")</f>
        <v/>
      </c>
    </row>
    <row r="149">
      <c r="A149" t="n">
        <v>53</v>
      </c>
      <c r="B149" t="inlineStr">
        <is>
          <t>Player0961</t>
        </is>
      </c>
      <c r="C149" t="inlineStr">
        <is>
          <t>ExampleWorld196</t>
        </is>
      </c>
      <c r="D149" t="inlineStr">
        <is>
          <t>Alliance</t>
        </is>
      </c>
      <c r="E149" t="n">
        <v>10</v>
      </c>
      <c r="F149" t="n">
        <v>8</v>
      </c>
      <c r="G149" t="n">
        <v>3</v>
      </c>
      <c r="H149" s="5" t="n">
        <v>38.448827</v>
      </c>
      <c r="I149" s="5" t="n">
        <v>7.489567</v>
      </c>
      <c r="M149">
        <f>COUNTIFS($B$5:$B$2000,B149,$C$5:$C$2000,C149)+COUNTIFS('GM Roster'!$B$5:$B$2000,B149,'GM Roster'!$C$5:$C$2000,C149)</f>
        <v/>
      </c>
      <c r="N149">
        <f>IFERROR(INDEX('Known Players'!$C$5:$C$500,MATCH(B149&amp;"|"&amp;C149,'Known Players'!$F$5:$F$500,0)),"")</f>
        <v/>
      </c>
      <c r="O149">
        <f>IFERROR(INDEX('Known Players'!$D$5:$D$500,MATCH(B149&amp;"|"&amp;C149,'Known Players'!$F$5:$F$500,0)),"")</f>
        <v/>
      </c>
      <c r="P149">
        <f>IFERROR(INDEX('Known Players'!$G$5:$G$500,MATCH(B149&amp;"|"&amp;C149,'Known Players'!$F$5:$F$500,0)),"")</f>
        <v/>
      </c>
    </row>
    <row r="150">
      <c r="A150" t="n">
        <v>53</v>
      </c>
      <c r="B150" t="inlineStr">
        <is>
          <t>Player0450</t>
        </is>
      </c>
      <c r="C150" t="inlineStr">
        <is>
          <t>ExampleWorld164</t>
        </is>
      </c>
      <c r="D150" t="inlineStr">
        <is>
          <t>Alliance</t>
        </is>
      </c>
      <c r="E150" t="n">
        <v>10</v>
      </c>
      <c r="F150" t="n">
        <v>10</v>
      </c>
      <c r="G150" t="n">
        <v>8</v>
      </c>
      <c r="H150" s="5" t="n">
        <v>24.200827</v>
      </c>
      <c r="I150" s="5" t="n">
        <v>14.887567</v>
      </c>
      <c r="M150">
        <f>COUNTIFS($B$5:$B$2000,B150,$C$5:$C$2000,C150)+COUNTIFS('GM Roster'!$B$5:$B$2000,B150,'GM Roster'!$C$5:$C$2000,C150)</f>
        <v/>
      </c>
      <c r="N150">
        <f>IFERROR(INDEX('Known Players'!$C$5:$C$500,MATCH(B150&amp;"|"&amp;C150,'Known Players'!$F$5:$F$500,0)),"")</f>
        <v/>
      </c>
      <c r="O150">
        <f>IFERROR(INDEX('Known Players'!$D$5:$D$500,MATCH(B150&amp;"|"&amp;C150,'Known Players'!$F$5:$F$500,0)),"")</f>
        <v/>
      </c>
      <c r="P150">
        <f>IFERROR(INDEX('Known Players'!$G$5:$G$500,MATCH(B150&amp;"|"&amp;C150,'Known Players'!$F$5:$F$500,0)),"")</f>
        <v/>
      </c>
    </row>
    <row r="151">
      <c r="A151" t="n">
        <v>53</v>
      </c>
      <c r="B151" t="inlineStr">
        <is>
          <t>Player0011</t>
        </is>
      </c>
      <c r="C151" t="inlineStr">
        <is>
          <t>ExampleWorld164</t>
        </is>
      </c>
      <c r="D151" t="inlineStr">
        <is>
          <t>Alliance</t>
        </is>
      </c>
      <c r="E151" t="n">
        <v>4</v>
      </c>
      <c r="F151" t="n">
        <v>1</v>
      </c>
      <c r="G151" t="n">
        <v>7</v>
      </c>
      <c r="H151" s="5" t="n">
        <v>14.062827</v>
      </c>
      <c r="I151" s="5" t="n">
        <v>4.475567</v>
      </c>
      <c r="M151">
        <f>COUNTIFS($B$5:$B$2000,B151,$C$5:$C$2000,C151)+COUNTIFS('GM Roster'!$B$5:$B$2000,B151,'GM Roster'!$C$5:$C$2000,C151)</f>
        <v/>
      </c>
      <c r="N151">
        <f>IFERROR(INDEX('Known Players'!$C$5:$C$500,MATCH(B151&amp;"|"&amp;C151,'Known Players'!$F$5:$F$500,0)),"")</f>
        <v/>
      </c>
      <c r="O151">
        <f>IFERROR(INDEX('Known Players'!$D$5:$D$500,MATCH(B151&amp;"|"&amp;C151,'Known Players'!$F$5:$F$500,0)),"")</f>
        <v/>
      </c>
      <c r="P151">
        <f>IFERROR(INDEX('Known Players'!$G$5:$G$500,MATCH(B151&amp;"|"&amp;C151,'Known Players'!$F$5:$F$500,0)),"")</f>
        <v/>
      </c>
    </row>
    <row r="152">
      <c r="A152" t="n">
        <v>53</v>
      </c>
      <c r="B152" t="inlineStr">
        <is>
          <t>Player0740</t>
        </is>
      </c>
      <c r="C152" t="inlineStr">
        <is>
          <t>ExampleWorld172</t>
        </is>
      </c>
      <c r="D152" t="inlineStr">
        <is>
          <t>Alliance</t>
        </is>
      </c>
      <c r="E152" t="n">
        <v>0</v>
      </c>
      <c r="F152" t="n">
        <v>4</v>
      </c>
      <c r="G152" t="n">
        <v>10</v>
      </c>
      <c r="H152" s="5" t="n">
        <v>4.198827</v>
      </c>
      <c r="I152" s="5" t="n">
        <v>60.371567</v>
      </c>
      <c r="J152" t="inlineStr">
        <is>
          <t>Carts captured: 1</t>
        </is>
      </c>
      <c r="M152">
        <f>COUNTIFS($B$5:$B$2000,B152,$C$5:$C$2000,C152)+COUNTIFS('GM Roster'!$B$5:$B$2000,B152,'GM Roster'!$C$5:$C$2000,C152)</f>
        <v/>
      </c>
      <c r="N152">
        <f>IFERROR(INDEX('Known Players'!$C$5:$C$500,MATCH(B152&amp;"|"&amp;C152,'Known Players'!$F$5:$F$500,0)),"")</f>
        <v/>
      </c>
      <c r="O152">
        <f>IFERROR(INDEX('Known Players'!$D$5:$D$500,MATCH(B152&amp;"|"&amp;C152,'Known Players'!$F$5:$F$500,0)),"")</f>
        <v/>
      </c>
      <c r="P152">
        <f>IFERROR(INDEX('Known Players'!$G$5:$G$500,MATCH(B152&amp;"|"&amp;C152,'Known Players'!$F$5:$F$500,0)),"")</f>
        <v/>
      </c>
    </row>
    <row r="153">
      <c r="A153" t="n">
        <v>53</v>
      </c>
      <c r="B153" t="inlineStr">
        <is>
          <t>Player0548</t>
        </is>
      </c>
      <c r="C153" t="inlineStr">
        <is>
          <t>ExampleWorld196</t>
        </is>
      </c>
      <c r="D153" t="inlineStr">
        <is>
          <t>Alliance</t>
        </is>
      </c>
      <c r="E153" t="n">
        <v>0</v>
      </c>
      <c r="F153" t="n">
        <v>10</v>
      </c>
      <c r="G153" t="n">
        <v>0</v>
      </c>
      <c r="H153" s="5" t="n">
        <v>3.924827</v>
      </c>
      <c r="I153" s="5" t="n">
        <v>131.611567</v>
      </c>
      <c r="M153">
        <f>COUNTIFS($B$5:$B$2000,B153,$C$5:$C$2000,C153)+COUNTIFS('GM Roster'!$B$5:$B$2000,B153,'GM Roster'!$C$5:$C$2000,C153)</f>
        <v/>
      </c>
      <c r="N153">
        <f>IFERROR(INDEX('Known Players'!$C$5:$C$500,MATCH(B153&amp;"|"&amp;C153,'Known Players'!$F$5:$F$500,0)),"")</f>
        <v/>
      </c>
      <c r="O153">
        <f>IFERROR(INDEX('Known Players'!$D$5:$D$500,MATCH(B153&amp;"|"&amp;C153,'Known Players'!$F$5:$F$500,0)),"")</f>
        <v/>
      </c>
      <c r="P153">
        <f>IFERROR(INDEX('Known Players'!$G$5:$G$500,MATCH(B153&amp;"|"&amp;C153,'Known Players'!$F$5:$F$500,0)),"")</f>
        <v/>
      </c>
    </row>
    <row r="154">
      <c r="A154" t="n">
        <v>53</v>
      </c>
      <c r="B154" t="inlineStr">
        <is>
          <t>Player0259</t>
        </is>
      </c>
      <c r="C154" t="inlineStr">
        <is>
          <t>ExampleWorld193</t>
        </is>
      </c>
      <c r="D154" t="inlineStr">
        <is>
          <t>Alliance</t>
        </is>
      </c>
      <c r="E154" t="n">
        <v>0</v>
      </c>
      <c r="F154" t="n">
        <v>7</v>
      </c>
      <c r="G154" t="n">
        <v>0</v>
      </c>
      <c r="H154" s="5" t="n">
        <v>0.856027</v>
      </c>
      <c r="I154" s="5" t="n">
        <v>6.393567</v>
      </c>
      <c r="M154">
        <f>COUNTIFS($B$5:$B$2000,B154,$C$5:$C$2000,C154)+COUNTIFS('GM Roster'!$B$5:$B$2000,B154,'GM Roster'!$C$5:$C$2000,C154)</f>
        <v/>
      </c>
      <c r="N154">
        <f>IFERROR(INDEX('Known Players'!$C$5:$C$500,MATCH(B154&amp;"|"&amp;C154,'Known Players'!$F$5:$F$500,0)),"")</f>
        <v/>
      </c>
      <c r="O154">
        <f>IFERROR(INDEX('Known Players'!$D$5:$D$500,MATCH(B154&amp;"|"&amp;C154,'Known Players'!$F$5:$F$500,0)),"")</f>
        <v/>
      </c>
      <c r="P154">
        <f>IFERROR(INDEX('Known Players'!$G$5:$G$500,MATCH(B154&amp;"|"&amp;C154,'Known Players'!$F$5:$F$500,0)),"")</f>
        <v/>
      </c>
    </row>
    <row r="155">
      <c r="A155" t="n">
        <v>53</v>
      </c>
      <c r="B155" t="inlineStr">
        <is>
          <t>Player0179</t>
        </is>
      </c>
      <c r="C155" t="inlineStr">
        <is>
          <t>ExampleWorld176</t>
        </is>
      </c>
      <c r="D155" t="inlineStr">
        <is>
          <t>Alliance</t>
        </is>
      </c>
      <c r="E155" t="n">
        <v>0</v>
      </c>
      <c r="F155" t="n">
        <v>3</v>
      </c>
      <c r="G155" t="n">
        <v>7</v>
      </c>
      <c r="H155" s="5" t="n">
        <v>0.214867</v>
      </c>
      <c r="I155" s="5" t="n">
        <v>2.050667</v>
      </c>
      <c r="M155">
        <f>COUNTIFS($B$5:$B$2000,B155,$C$5:$C$2000,C155)+COUNTIFS('GM Roster'!$B$5:$B$2000,B155,'GM Roster'!$C$5:$C$2000,C155)</f>
        <v/>
      </c>
      <c r="N155">
        <f>IFERROR(INDEX('Known Players'!$C$5:$C$500,MATCH(B155&amp;"|"&amp;C155,'Known Players'!$F$5:$F$500,0)),"")</f>
        <v/>
      </c>
      <c r="O155">
        <f>IFERROR(INDEX('Known Players'!$D$5:$D$500,MATCH(B155&amp;"|"&amp;C155,'Known Players'!$F$5:$F$500,0)),"")</f>
        <v/>
      </c>
      <c r="P155">
        <f>IFERROR(INDEX('Known Players'!$G$5:$G$500,MATCH(B155&amp;"|"&amp;C155,'Known Players'!$F$5:$F$500,0)),"")</f>
        <v/>
      </c>
    </row>
    <row r="156">
      <c r="A156" t="n">
        <v>53</v>
      </c>
      <c r="B156" t="inlineStr">
        <is>
          <t>Player0678</t>
        </is>
      </c>
      <c r="C156" t="inlineStr">
        <is>
          <t>ExampleWorld176</t>
        </is>
      </c>
      <c r="D156" t="inlineStr">
        <is>
          <t>Alliance</t>
        </is>
      </c>
      <c r="E156" t="n">
        <v>0</v>
      </c>
      <c r="F156" t="n">
        <v>0</v>
      </c>
      <c r="G156" t="n">
        <v>0</v>
      </c>
      <c r="H156" s="5" t="n">
        <v>0</v>
      </c>
      <c r="I156" s="5" t="n">
        <v>0</v>
      </c>
      <c r="L156" t="inlineStr">
        <is>
          <t>Synthetic example</t>
        </is>
      </c>
      <c r="M156">
        <f>COUNTIFS($B$5:$B$2000,B156,$C$5:$C$2000,C156)+COUNTIFS('GM Roster'!$B$5:$B$2000,B156,'GM Roster'!$C$5:$C$2000,C156)</f>
        <v/>
      </c>
      <c r="N156">
        <f>IFERROR(INDEX('Known Players'!$C$5:$C$500,MATCH(B156&amp;"|"&amp;C156,'Known Players'!$F$5:$F$500,0)),"")</f>
        <v/>
      </c>
      <c r="O156">
        <f>IFERROR(INDEX('Known Players'!$D$5:$D$500,MATCH(B156&amp;"|"&amp;C156,'Known Players'!$F$5:$F$500,0)),"")</f>
        <v/>
      </c>
      <c r="P156">
        <f>IFERROR(INDEX('Known Players'!$G$5:$G$500,MATCH(B156&amp;"|"&amp;C156,'Known Players'!$F$5:$F$500,0)),"")</f>
        <v/>
      </c>
    </row>
    <row r="157">
      <c r="A157" t="n">
        <v>54</v>
      </c>
      <c r="B157" t="inlineStr">
        <is>
          <t>Player0816</t>
        </is>
      </c>
      <c r="C157" t="inlineStr">
        <is>
          <t>ExampleWorld164</t>
        </is>
      </c>
      <c r="D157" t="inlineStr">
        <is>
          <t>Alliance</t>
        </is>
      </c>
      <c r="E157" t="n">
        <v>7</v>
      </c>
      <c r="F157" t="n">
        <v>10</v>
      </c>
      <c r="G157" t="n">
        <v>4</v>
      </c>
      <c r="H157" s="5" t="n">
        <v>41.188827</v>
      </c>
      <c r="I157" s="5" t="n">
        <v>6.119567</v>
      </c>
      <c r="M157">
        <f>COUNTIFS($B$5:$B$2000,B157,$C$5:$C$2000,C157)+COUNTIFS('GM Roster'!$B$5:$B$2000,B157,'GM Roster'!$C$5:$C$2000,C157)</f>
        <v/>
      </c>
      <c r="N157">
        <f>IFERROR(INDEX('Known Players'!$C$5:$C$500,MATCH(B157&amp;"|"&amp;C157,'Known Players'!$F$5:$F$500,0)),"")</f>
        <v/>
      </c>
      <c r="O157">
        <f>IFERROR(INDEX('Known Players'!$D$5:$D$500,MATCH(B157&amp;"|"&amp;C157,'Known Players'!$F$5:$F$500,0)),"")</f>
        <v/>
      </c>
      <c r="P157">
        <f>IFERROR(INDEX('Known Players'!$G$5:$G$500,MATCH(B157&amp;"|"&amp;C157,'Known Players'!$F$5:$F$500,0)),"")</f>
        <v/>
      </c>
    </row>
    <row r="158">
      <c r="A158" t="n">
        <v>54</v>
      </c>
      <c r="B158" t="inlineStr">
        <is>
          <t>Player0430</t>
        </is>
      </c>
      <c r="C158" t="inlineStr">
        <is>
          <t>PracticeRealm</t>
        </is>
      </c>
      <c r="D158" t="inlineStr">
        <is>
          <t>Alliance</t>
        </is>
      </c>
      <c r="E158" t="n">
        <v>4</v>
      </c>
      <c r="F158" t="n">
        <v>9</v>
      </c>
      <c r="G158" t="n">
        <v>4</v>
      </c>
      <c r="H158" s="5" t="n">
        <v>38.448827</v>
      </c>
      <c r="I158" s="5" t="n">
        <v>6.941567</v>
      </c>
      <c r="M158">
        <f>COUNTIFS($B$5:$B$2000,B158,$C$5:$C$2000,C158)+COUNTIFS('GM Roster'!$B$5:$B$2000,B158,'GM Roster'!$C$5:$C$2000,C158)</f>
        <v/>
      </c>
      <c r="N158">
        <f>IFERROR(INDEX('Known Players'!$C$5:$C$500,MATCH(B158&amp;"|"&amp;C158,'Known Players'!$F$5:$F$500,0)),"")</f>
        <v/>
      </c>
      <c r="O158">
        <f>IFERROR(INDEX('Known Players'!$D$5:$D$500,MATCH(B158&amp;"|"&amp;C158,'Known Players'!$F$5:$F$500,0)),"")</f>
        <v/>
      </c>
      <c r="P158">
        <f>IFERROR(INDEX('Known Players'!$G$5:$G$500,MATCH(B158&amp;"|"&amp;C158,'Known Players'!$F$5:$F$500,0)),"")</f>
        <v/>
      </c>
    </row>
    <row r="159">
      <c r="A159" t="n">
        <v>54</v>
      </c>
      <c r="B159" t="inlineStr">
        <is>
          <t>Unboundleaf</t>
        </is>
      </c>
      <c r="C159" t="inlineStr">
        <is>
          <t>SandboxRealm</t>
        </is>
      </c>
      <c r="D159" t="inlineStr">
        <is>
          <t>Horde</t>
        </is>
      </c>
      <c r="E159" t="n">
        <v>7</v>
      </c>
      <c r="F159" t="n">
        <v>6</v>
      </c>
      <c r="G159" t="n">
        <v>7</v>
      </c>
      <c r="H159" s="5" t="n">
        <v>32.968827</v>
      </c>
      <c r="I159" s="5" t="n">
        <v>4.749567</v>
      </c>
      <c r="L159" t="inlineStr">
        <is>
          <t>Synthetic example</t>
        </is>
      </c>
      <c r="M159">
        <f>COUNTIFS($B$5:$B$2000,B159,$C$5:$C$2000,C159)+COUNTIFS('GM Roster'!$B$5:$B$2000,B159,'GM Roster'!$C$5:$C$2000,C159)</f>
        <v/>
      </c>
      <c r="N159">
        <f>IFERROR(INDEX('Known Players'!$C$5:$C$500,MATCH(B159&amp;"|"&amp;C159,'Known Players'!$F$5:$F$500,0)),"")</f>
        <v/>
      </c>
      <c r="O159">
        <f>IFERROR(INDEX('Known Players'!$D$5:$D$500,MATCH(B159&amp;"|"&amp;C159,'Known Players'!$F$5:$F$500,0)),"")</f>
        <v/>
      </c>
      <c r="P159">
        <f>IFERROR(INDEX('Known Players'!$G$5:$G$500,MATCH(B159&amp;"|"&amp;C159,'Known Players'!$F$5:$F$500,0)),"")</f>
        <v/>
      </c>
    </row>
    <row r="160">
      <c r="A160" t="n">
        <v>54</v>
      </c>
      <c r="B160" t="inlineStr">
        <is>
          <t>Emberguard</t>
        </is>
      </c>
      <c r="C160" t="inlineStr">
        <is>
          <t>SandboxRealm</t>
        </is>
      </c>
      <c r="D160" t="inlineStr">
        <is>
          <t>Horde</t>
        </is>
      </c>
      <c r="E160" t="n">
        <v>10</v>
      </c>
      <c r="F160" t="n">
        <v>3</v>
      </c>
      <c r="G160" t="n">
        <v>7</v>
      </c>
      <c r="H160" s="5" t="n">
        <v>32.968827</v>
      </c>
      <c r="I160" s="5" t="n">
        <v>3.653567</v>
      </c>
      <c r="M160">
        <f>COUNTIFS($B$5:$B$2000,B160,$C$5:$C$2000,C160)+COUNTIFS('GM Roster'!$B$5:$B$2000,B160,'GM Roster'!$C$5:$C$2000,C160)</f>
        <v/>
      </c>
      <c r="N160">
        <f>IFERROR(INDEX('Known Players'!$C$5:$C$500,MATCH(B160&amp;"|"&amp;C160,'Known Players'!$F$5:$F$500,0)),"")</f>
        <v/>
      </c>
      <c r="O160">
        <f>IFERROR(INDEX('Known Players'!$D$5:$D$500,MATCH(B160&amp;"|"&amp;C160,'Known Players'!$F$5:$F$500,0)),"")</f>
        <v/>
      </c>
      <c r="P160">
        <f>IFERROR(INDEX('Known Players'!$G$5:$G$500,MATCH(B160&amp;"|"&amp;C160,'Known Players'!$F$5:$F$500,0)),"")</f>
        <v/>
      </c>
    </row>
    <row r="161">
      <c r="A161" t="n">
        <v>54</v>
      </c>
      <c r="B161" t="inlineStr">
        <is>
          <t>Player0552</t>
        </is>
      </c>
      <c r="C161" t="inlineStr">
        <is>
          <t>ExampleWorld176</t>
        </is>
      </c>
      <c r="D161" t="inlineStr">
        <is>
          <t>Alliance</t>
        </is>
      </c>
      <c r="E161" t="n">
        <v>10</v>
      </c>
      <c r="F161" t="n">
        <v>3</v>
      </c>
      <c r="G161" t="n">
        <v>4</v>
      </c>
      <c r="H161" s="5" t="n">
        <v>32.968827</v>
      </c>
      <c r="I161" s="5" t="n">
        <v>18.723567</v>
      </c>
      <c r="M161">
        <f>COUNTIFS($B$5:$B$2000,B161,$C$5:$C$2000,C161)+COUNTIFS('GM Roster'!$B$5:$B$2000,B161,'GM Roster'!$C$5:$C$2000,C161)</f>
        <v/>
      </c>
      <c r="N161">
        <f>IFERROR(INDEX('Known Players'!$C$5:$C$500,MATCH(B161&amp;"|"&amp;C161,'Known Players'!$F$5:$F$500,0)),"")</f>
        <v/>
      </c>
      <c r="O161">
        <f>IFERROR(INDEX('Known Players'!$D$5:$D$500,MATCH(B161&amp;"|"&amp;C161,'Known Players'!$F$5:$F$500,0)),"")</f>
        <v/>
      </c>
      <c r="P161">
        <f>IFERROR(INDEX('Known Players'!$G$5:$G$500,MATCH(B161&amp;"|"&amp;C161,'Known Players'!$F$5:$F$500,0)),"")</f>
        <v/>
      </c>
    </row>
    <row r="162">
      <c r="A162" t="n">
        <v>54</v>
      </c>
      <c r="B162" t="inlineStr">
        <is>
          <t>Player0089</t>
        </is>
      </c>
      <c r="C162" t="inlineStr">
        <is>
          <t>ExampleWorld031</t>
        </is>
      </c>
      <c r="D162" t="inlineStr">
        <is>
          <t>Alliance</t>
        </is>
      </c>
      <c r="E162" t="n">
        <v>0</v>
      </c>
      <c r="F162" t="n">
        <v>3</v>
      </c>
      <c r="G162" t="n">
        <v>0</v>
      </c>
      <c r="H162" s="5" t="n">
        <v>32.968827</v>
      </c>
      <c r="I162" s="5" t="n">
        <v>3.927567</v>
      </c>
      <c r="L162" t="inlineStr">
        <is>
          <t>Synthetic example</t>
        </is>
      </c>
      <c r="M162">
        <f>COUNTIFS($B$5:$B$2000,B162,$C$5:$C$2000,C162)+COUNTIFS('GM Roster'!$B$5:$B$2000,B162,'GM Roster'!$C$5:$C$2000,C162)</f>
        <v/>
      </c>
      <c r="N162">
        <f>IFERROR(INDEX('Known Players'!$C$5:$C$500,MATCH(B162&amp;"|"&amp;C162,'Known Players'!$F$5:$F$500,0)),"")</f>
        <v/>
      </c>
      <c r="O162">
        <f>IFERROR(INDEX('Known Players'!$D$5:$D$500,MATCH(B162&amp;"|"&amp;C162,'Known Players'!$F$5:$F$500,0)),"")</f>
        <v/>
      </c>
      <c r="P162">
        <f>IFERROR(INDEX('Known Players'!$G$5:$G$500,MATCH(B162&amp;"|"&amp;C162,'Known Players'!$F$5:$F$500,0)),"")</f>
        <v/>
      </c>
    </row>
    <row r="163">
      <c r="A163" t="n">
        <v>54</v>
      </c>
      <c r="B163" t="inlineStr">
        <is>
          <t>Player0321</t>
        </is>
      </c>
      <c r="C163" t="inlineStr">
        <is>
          <t>ExampleWorld087</t>
        </is>
      </c>
      <c r="D163" t="inlineStr">
        <is>
          <t>Horde</t>
        </is>
      </c>
      <c r="E163" t="n">
        <v>4</v>
      </c>
      <c r="F163" t="n">
        <v>3</v>
      </c>
      <c r="G163" t="n">
        <v>10</v>
      </c>
      <c r="H163" s="5" t="n">
        <v>32.968827</v>
      </c>
      <c r="I163" s="5" t="n">
        <v>7.215567</v>
      </c>
      <c r="M163">
        <f>COUNTIFS($B$5:$B$2000,B163,$C$5:$C$2000,C163)+COUNTIFS('GM Roster'!$B$5:$B$2000,B163,'GM Roster'!$C$5:$C$2000,C163)</f>
        <v/>
      </c>
      <c r="N163">
        <f>IFERROR(INDEX('Known Players'!$C$5:$C$500,MATCH(B163&amp;"|"&amp;C163,'Known Players'!$F$5:$F$500,0)),"")</f>
        <v/>
      </c>
      <c r="O163">
        <f>IFERROR(INDEX('Known Players'!$D$5:$D$500,MATCH(B163&amp;"|"&amp;C163,'Known Players'!$F$5:$F$500,0)),"")</f>
        <v/>
      </c>
      <c r="P163">
        <f>IFERROR(INDEX('Known Players'!$G$5:$G$500,MATCH(B163&amp;"|"&amp;C163,'Known Players'!$F$5:$F$500,0)),"")</f>
        <v/>
      </c>
    </row>
    <row r="164">
      <c r="A164" t="n">
        <v>54</v>
      </c>
      <c r="B164" t="inlineStr">
        <is>
          <t>Player0137</t>
        </is>
      </c>
      <c r="C164" t="inlineStr">
        <is>
          <t>ExampleWorld150</t>
        </is>
      </c>
      <c r="D164" t="inlineStr">
        <is>
          <t>Alliance</t>
        </is>
      </c>
      <c r="E164" t="n">
        <v>7</v>
      </c>
      <c r="F164" t="n">
        <v>1</v>
      </c>
      <c r="G164" t="n">
        <v>7</v>
      </c>
      <c r="H164" s="5" t="n">
        <v>30.228827</v>
      </c>
      <c r="I164" s="5" t="n">
        <v>25.573567</v>
      </c>
      <c r="M164">
        <f>COUNTIFS($B$5:$B$2000,B164,$C$5:$C$2000,C164)+COUNTIFS('GM Roster'!$B$5:$B$2000,B164,'GM Roster'!$C$5:$C$2000,C164)</f>
        <v/>
      </c>
      <c r="N164">
        <f>IFERROR(INDEX('Known Players'!$C$5:$C$500,MATCH(B164&amp;"|"&amp;C164,'Known Players'!$F$5:$F$500,0)),"")</f>
        <v/>
      </c>
      <c r="O164">
        <f>IFERROR(INDEX('Known Players'!$D$5:$D$500,MATCH(B164&amp;"|"&amp;C164,'Known Players'!$F$5:$F$500,0)),"")</f>
        <v/>
      </c>
      <c r="P164">
        <f>IFERROR(INDEX('Known Players'!$G$5:$G$500,MATCH(B164&amp;"|"&amp;C164,'Known Players'!$F$5:$F$500,0)),"")</f>
        <v/>
      </c>
    </row>
    <row r="165">
      <c r="A165" t="n">
        <v>54</v>
      </c>
      <c r="B165" t="inlineStr">
        <is>
          <t>Player0560</t>
        </is>
      </c>
      <c r="C165" t="inlineStr">
        <is>
          <t>ExampleWorld182</t>
        </is>
      </c>
      <c r="D165" t="inlineStr">
        <is>
          <t>Horde</t>
        </is>
      </c>
      <c r="E165" t="n">
        <v>0</v>
      </c>
      <c r="F165" t="n">
        <v>6</v>
      </c>
      <c r="G165" t="n">
        <v>7</v>
      </c>
      <c r="H165" s="5" t="n">
        <v>30.228827</v>
      </c>
      <c r="I165" s="5" t="n">
        <v>9.955567</v>
      </c>
      <c r="M165">
        <f>COUNTIFS($B$5:$B$2000,B165,$C$5:$C$2000,C165)+COUNTIFS('GM Roster'!$B$5:$B$2000,B165,'GM Roster'!$C$5:$C$2000,C165)</f>
        <v/>
      </c>
      <c r="N165">
        <f>IFERROR(INDEX('Known Players'!$C$5:$C$500,MATCH(B165&amp;"|"&amp;C165,'Known Players'!$F$5:$F$500,0)),"")</f>
        <v/>
      </c>
      <c r="O165">
        <f>IFERROR(INDEX('Known Players'!$D$5:$D$500,MATCH(B165&amp;"|"&amp;C165,'Known Players'!$F$5:$F$500,0)),"")</f>
        <v/>
      </c>
      <c r="P165">
        <f>IFERROR(INDEX('Known Players'!$G$5:$G$500,MATCH(B165&amp;"|"&amp;C165,'Known Players'!$F$5:$F$500,0)),"")</f>
        <v/>
      </c>
    </row>
    <row r="166">
      <c r="A166" t="n">
        <v>54</v>
      </c>
      <c r="B166" t="inlineStr">
        <is>
          <t>Môônlet</t>
        </is>
      </c>
      <c r="C166" t="inlineStr">
        <is>
          <t>ExampleWorld128</t>
        </is>
      </c>
      <c r="D166" t="inlineStr">
        <is>
          <t>Alliance</t>
        </is>
      </c>
      <c r="E166" t="n">
        <v>0</v>
      </c>
      <c r="F166" t="n">
        <v>5</v>
      </c>
      <c r="G166" t="n">
        <v>7</v>
      </c>
      <c r="H166" s="5" t="n">
        <v>22.830827</v>
      </c>
      <c r="I166" s="5" t="n">
        <v>6.119567</v>
      </c>
      <c r="M166">
        <f>COUNTIFS($B$5:$B$2000,B166,$C$5:$C$2000,C166)+COUNTIFS('GM Roster'!$B$5:$B$2000,B166,'GM Roster'!$C$5:$C$2000,C166)</f>
        <v/>
      </c>
      <c r="N166">
        <f>IFERROR(INDEX('Known Players'!$C$5:$C$500,MATCH(B166&amp;"|"&amp;C166,'Known Players'!$F$5:$F$500,0)),"")</f>
        <v/>
      </c>
      <c r="O166">
        <f>IFERROR(INDEX('Known Players'!$D$5:$D$500,MATCH(B166&amp;"|"&amp;C166,'Known Players'!$F$5:$F$500,0)),"")</f>
        <v/>
      </c>
      <c r="P166">
        <f>IFERROR(INDEX('Known Players'!$G$5:$G$500,MATCH(B166&amp;"|"&amp;C166,'Known Players'!$F$5:$F$500,0)),"")</f>
        <v/>
      </c>
    </row>
    <row r="167">
      <c r="A167" t="n">
        <v>54</v>
      </c>
      <c r="B167" t="inlineStr">
        <is>
          <t>Player0511</t>
        </is>
      </c>
      <c r="C167" t="inlineStr">
        <is>
          <t>ExampleWorld104</t>
        </is>
      </c>
      <c r="D167" t="inlineStr">
        <is>
          <t>Horde</t>
        </is>
      </c>
      <c r="E167" t="n">
        <v>0</v>
      </c>
      <c r="F167" t="n">
        <v>8</v>
      </c>
      <c r="G167" t="n">
        <v>4</v>
      </c>
      <c r="H167" s="5" t="n">
        <v>19.268827</v>
      </c>
      <c r="I167" s="5" t="n">
        <v>87.771567</v>
      </c>
      <c r="M167">
        <f>COUNTIFS($B$5:$B$2000,B167,$C$5:$C$2000,C167)+COUNTIFS('GM Roster'!$B$5:$B$2000,B167,'GM Roster'!$C$5:$C$2000,C167)</f>
        <v/>
      </c>
      <c r="N167">
        <f>IFERROR(INDEX('Known Players'!$C$5:$C$500,MATCH(B167&amp;"|"&amp;C167,'Known Players'!$F$5:$F$500,0)),"")</f>
        <v/>
      </c>
      <c r="O167">
        <f>IFERROR(INDEX('Known Players'!$D$5:$D$500,MATCH(B167&amp;"|"&amp;C167,'Known Players'!$F$5:$F$500,0)),"")</f>
        <v/>
      </c>
      <c r="P167">
        <f>IFERROR(INDEX('Known Players'!$G$5:$G$500,MATCH(B167&amp;"|"&amp;C167,'Known Players'!$F$5:$F$500,0)),"")</f>
        <v/>
      </c>
    </row>
    <row r="168">
      <c r="A168" t="n">
        <v>54</v>
      </c>
      <c r="B168" t="inlineStr">
        <is>
          <t>Player0331</t>
        </is>
      </c>
      <c r="C168" t="inlineStr">
        <is>
          <t>ExampleWorld144</t>
        </is>
      </c>
      <c r="D168" t="inlineStr">
        <is>
          <t>Alliance</t>
        </is>
      </c>
      <c r="E168" t="n">
        <v>5</v>
      </c>
      <c r="F168" t="n">
        <v>2</v>
      </c>
      <c r="G168" t="n">
        <v>0</v>
      </c>
      <c r="H168" s="5" t="n">
        <v>17.624827</v>
      </c>
      <c r="I168" s="5" t="n">
        <v>6.119567</v>
      </c>
      <c r="L168" t="inlineStr">
        <is>
          <t>Synthetic example</t>
        </is>
      </c>
      <c r="M168">
        <f>COUNTIFS($B$5:$B$2000,B168,$C$5:$C$2000,C168)+COUNTIFS('GM Roster'!$B$5:$B$2000,B168,'GM Roster'!$C$5:$C$2000,C168)</f>
        <v/>
      </c>
      <c r="N168">
        <f>IFERROR(INDEX('Known Players'!$C$5:$C$500,MATCH(B168&amp;"|"&amp;C168,'Known Players'!$F$5:$F$500,0)),"")</f>
        <v/>
      </c>
      <c r="O168">
        <f>IFERROR(INDEX('Known Players'!$D$5:$D$500,MATCH(B168&amp;"|"&amp;C168,'Known Players'!$F$5:$F$500,0)),"")</f>
        <v/>
      </c>
      <c r="P168">
        <f>IFERROR(INDEX('Known Players'!$G$5:$G$500,MATCH(B168&amp;"|"&amp;C168,'Known Players'!$F$5:$F$500,0)),"")</f>
        <v/>
      </c>
    </row>
    <row r="169">
      <c r="A169" t="n">
        <v>54</v>
      </c>
      <c r="B169" t="inlineStr">
        <is>
          <t>Player0017</t>
        </is>
      </c>
      <c r="C169" t="inlineStr">
        <is>
          <t>ExampleWorld059</t>
        </is>
      </c>
      <c r="D169" t="inlineStr">
        <is>
          <t>Horde</t>
        </is>
      </c>
      <c r="E169" t="n">
        <v>4</v>
      </c>
      <c r="F169" t="n">
        <v>5</v>
      </c>
      <c r="G169" t="n">
        <v>7</v>
      </c>
      <c r="H169" s="5" t="n">
        <v>17.624827</v>
      </c>
      <c r="I169" s="5" t="n">
        <v>4.475567</v>
      </c>
      <c r="M169">
        <f>COUNTIFS($B$5:$B$2000,B169,$C$5:$C$2000,C169)+COUNTIFS('GM Roster'!$B$5:$B$2000,B169,'GM Roster'!$C$5:$C$2000,C169)</f>
        <v/>
      </c>
      <c r="N169">
        <f>IFERROR(INDEX('Known Players'!$C$5:$C$500,MATCH(B169&amp;"|"&amp;C169,'Known Players'!$F$5:$F$500,0)),"")</f>
        <v/>
      </c>
      <c r="O169">
        <f>IFERROR(INDEX('Known Players'!$D$5:$D$500,MATCH(B169&amp;"|"&amp;C169,'Known Players'!$F$5:$F$500,0)),"")</f>
        <v/>
      </c>
      <c r="P169">
        <f>IFERROR(INDEX('Known Players'!$G$5:$G$500,MATCH(B169&amp;"|"&amp;C169,'Known Players'!$F$5:$F$500,0)),"")</f>
        <v/>
      </c>
    </row>
    <row r="170">
      <c r="A170" t="n">
        <v>54</v>
      </c>
      <c r="B170" t="inlineStr">
        <is>
          <t>Asterknight</t>
        </is>
      </c>
      <c r="C170" t="inlineStr">
        <is>
          <t>exampleworld001</t>
        </is>
      </c>
      <c r="D170" t="inlineStr">
        <is>
          <t>Horde</t>
        </is>
      </c>
      <c r="E170" t="n">
        <v>7</v>
      </c>
      <c r="F170" t="n">
        <v>3</v>
      </c>
      <c r="G170" t="n">
        <v>7</v>
      </c>
      <c r="H170" s="5" t="n">
        <v>17.076827</v>
      </c>
      <c r="I170" s="5" t="n">
        <v>11.955767</v>
      </c>
      <c r="L170" t="inlineStr">
        <is>
          <t>Synthetic example</t>
        </is>
      </c>
      <c r="M170">
        <f>COUNTIFS($B$5:$B$2000,B170,$C$5:$C$2000,C170)+COUNTIFS('GM Roster'!$B$5:$B$2000,B170,'GM Roster'!$C$5:$C$2000,C170)</f>
        <v/>
      </c>
      <c r="N170">
        <f>IFERROR(INDEX('Known Players'!$C$5:$C$500,MATCH(B170&amp;"|"&amp;C170,'Known Players'!$F$5:$F$500,0)),"")</f>
        <v/>
      </c>
      <c r="O170">
        <f>IFERROR(INDEX('Known Players'!$D$5:$D$500,MATCH(B170&amp;"|"&amp;C170,'Known Players'!$F$5:$F$500,0)),"")</f>
        <v/>
      </c>
      <c r="P170">
        <f>IFERROR(INDEX('Known Players'!$G$5:$G$500,MATCH(B170&amp;"|"&amp;C170,'Known Players'!$F$5:$F$500,0)),"")</f>
        <v/>
      </c>
    </row>
    <row r="171">
      <c r="A171" t="n">
        <v>54</v>
      </c>
      <c r="B171" t="inlineStr">
        <is>
          <t>Player0913</t>
        </is>
      </c>
      <c r="C171" t="inlineStr">
        <is>
          <t>ExampleWorld128</t>
        </is>
      </c>
      <c r="D171" t="inlineStr">
        <is>
          <t>Alliance</t>
        </is>
      </c>
      <c r="E171" t="n">
        <v>0</v>
      </c>
      <c r="F171" t="n">
        <v>10</v>
      </c>
      <c r="G171" t="n">
        <v>0</v>
      </c>
      <c r="H171" s="5" t="n">
        <v>16.528827</v>
      </c>
      <c r="I171" s="5" t="n">
        <v>5.297567</v>
      </c>
      <c r="L171" t="inlineStr">
        <is>
          <t>Synthetic example</t>
        </is>
      </c>
      <c r="M171">
        <f>COUNTIFS($B$5:$B$2000,B171,$C$5:$C$2000,C171)+COUNTIFS('GM Roster'!$B$5:$B$2000,B171,'GM Roster'!$C$5:$C$2000,C171)</f>
        <v/>
      </c>
      <c r="N171">
        <f>IFERROR(INDEX('Known Players'!$C$5:$C$500,MATCH(B171&amp;"|"&amp;C171,'Known Players'!$F$5:$F$500,0)),"")</f>
        <v/>
      </c>
      <c r="O171">
        <f>IFERROR(INDEX('Known Players'!$D$5:$D$500,MATCH(B171&amp;"|"&amp;C171,'Known Players'!$F$5:$F$500,0)),"")</f>
        <v/>
      </c>
      <c r="P171">
        <f>IFERROR(INDEX('Known Players'!$G$5:$G$500,MATCH(B171&amp;"|"&amp;C171,'Known Players'!$F$5:$F$500,0)),"")</f>
        <v/>
      </c>
    </row>
    <row r="172">
      <c r="A172" t="n">
        <v>54</v>
      </c>
      <c r="B172" t="inlineStr">
        <is>
          <t>Player0373</t>
        </is>
      </c>
      <c r="C172" t="inlineStr">
        <is>
          <t>ExampleWorld104</t>
        </is>
      </c>
      <c r="D172" t="inlineStr">
        <is>
          <t>Horde</t>
        </is>
      </c>
      <c r="E172" t="n">
        <v>0</v>
      </c>
      <c r="F172" t="n">
        <v>4</v>
      </c>
      <c r="G172" t="n">
        <v>10</v>
      </c>
      <c r="H172" s="5" t="n">
        <v>13.240827</v>
      </c>
      <c r="I172" s="5" t="n">
        <v>4.749567</v>
      </c>
      <c r="L172" t="inlineStr">
        <is>
          <t>Synthetic example</t>
        </is>
      </c>
      <c r="M172">
        <f>COUNTIFS($B$5:$B$2000,B172,$C$5:$C$2000,C172)+COUNTIFS('GM Roster'!$B$5:$B$2000,B172,'GM Roster'!$C$5:$C$2000,C172)</f>
        <v/>
      </c>
      <c r="N172">
        <f>IFERROR(INDEX('Known Players'!$C$5:$C$500,MATCH(B172&amp;"|"&amp;C172,'Known Players'!$F$5:$F$500,0)),"")</f>
        <v/>
      </c>
      <c r="O172">
        <f>IFERROR(INDEX('Known Players'!$D$5:$D$500,MATCH(B172&amp;"|"&amp;C172,'Known Players'!$F$5:$F$500,0)),"")</f>
        <v/>
      </c>
      <c r="P172">
        <f>IFERROR(INDEX('Known Players'!$G$5:$G$500,MATCH(B172&amp;"|"&amp;C172,'Known Players'!$F$5:$F$500,0)),"")</f>
        <v/>
      </c>
    </row>
    <row r="173">
      <c r="A173" t="n">
        <v>54</v>
      </c>
      <c r="B173" t="inlineStr">
        <is>
          <t>Player0344</t>
        </is>
      </c>
      <c r="C173" t="inlineStr">
        <is>
          <t>ExampleWorld017</t>
        </is>
      </c>
      <c r="D173" t="inlineStr">
        <is>
          <t>Alliance</t>
        </is>
      </c>
      <c r="E173" t="n">
        <v>10</v>
      </c>
      <c r="F173" t="n">
        <v>4</v>
      </c>
      <c r="G173" t="n">
        <v>0</v>
      </c>
      <c r="H173" s="5" t="n">
        <v>11.870827</v>
      </c>
      <c r="I173" s="5" t="n">
        <v>65.851567</v>
      </c>
      <c r="M173">
        <f>COUNTIFS($B$5:$B$2000,B173,$C$5:$C$2000,C173)+COUNTIFS('GM Roster'!$B$5:$B$2000,B173,'GM Roster'!$C$5:$C$2000,C173)</f>
        <v/>
      </c>
      <c r="N173">
        <f>IFERROR(INDEX('Known Players'!$C$5:$C$500,MATCH(B173&amp;"|"&amp;C173,'Known Players'!$F$5:$F$500,0)),"")</f>
        <v/>
      </c>
      <c r="O173">
        <f>IFERROR(INDEX('Known Players'!$D$5:$D$500,MATCH(B173&amp;"|"&amp;C173,'Known Players'!$F$5:$F$500,0)),"")</f>
        <v/>
      </c>
      <c r="P173">
        <f>IFERROR(INDEX('Known Players'!$G$5:$G$500,MATCH(B173&amp;"|"&amp;C173,'Known Players'!$F$5:$F$500,0)),"")</f>
        <v/>
      </c>
    </row>
    <row r="174">
      <c r="A174" t="n">
        <v>54</v>
      </c>
      <c r="B174" t="inlineStr">
        <is>
          <t>Silverhålo</t>
        </is>
      </c>
      <c r="C174" t="inlineStr">
        <is>
          <t>ExampleWorld128</t>
        </is>
      </c>
      <c r="D174" t="inlineStr">
        <is>
          <t>Alliance</t>
        </is>
      </c>
      <c r="E174" t="n">
        <v>0</v>
      </c>
      <c r="F174" t="n">
        <v>2</v>
      </c>
      <c r="G174" t="n">
        <v>7</v>
      </c>
      <c r="H174" s="5" t="n">
        <v>6.390827</v>
      </c>
      <c r="I174" s="5" t="n">
        <v>35.711567</v>
      </c>
      <c r="M174">
        <f>COUNTIFS($B$5:$B$2000,B174,$C$5:$C$2000,C174)+COUNTIFS('GM Roster'!$B$5:$B$2000,B174,'GM Roster'!$C$5:$C$2000,C174)</f>
        <v/>
      </c>
      <c r="N174">
        <f>IFERROR(INDEX('Known Players'!$C$5:$C$500,MATCH(B174&amp;"|"&amp;C174,'Known Players'!$F$5:$F$500,0)),"")</f>
        <v/>
      </c>
      <c r="O174">
        <f>IFERROR(INDEX('Known Players'!$D$5:$D$500,MATCH(B174&amp;"|"&amp;C174,'Known Players'!$F$5:$F$500,0)),"")</f>
        <v/>
      </c>
      <c r="P174">
        <f>IFERROR(INDEX('Known Players'!$G$5:$G$500,MATCH(B174&amp;"|"&amp;C174,'Known Players'!$F$5:$F$500,0)),"")</f>
        <v/>
      </c>
    </row>
    <row r="175">
      <c r="A175" t="n">
        <v>54</v>
      </c>
      <c r="B175" t="inlineStr">
        <is>
          <t>Player0848</t>
        </is>
      </c>
      <c r="C175" t="inlineStr">
        <is>
          <t>ExampleWorld023</t>
        </is>
      </c>
      <c r="D175" t="inlineStr">
        <is>
          <t>Horde</t>
        </is>
      </c>
      <c r="E175" t="n">
        <v>0</v>
      </c>
      <c r="F175" t="n">
        <v>4</v>
      </c>
      <c r="G175" t="n">
        <v>5</v>
      </c>
      <c r="H175" s="5" t="n">
        <v>6.116827</v>
      </c>
      <c r="I175" s="5" t="n">
        <v>2.831567</v>
      </c>
      <c r="M175">
        <f>COUNTIFS($B$5:$B$2000,B175,$C$5:$C$2000,C175)+COUNTIFS('GM Roster'!$B$5:$B$2000,B175,'GM Roster'!$C$5:$C$2000,C175)</f>
        <v/>
      </c>
      <c r="N175">
        <f>IFERROR(INDEX('Known Players'!$C$5:$C$500,MATCH(B175&amp;"|"&amp;C175,'Known Players'!$F$5:$F$500,0)),"")</f>
        <v/>
      </c>
      <c r="O175">
        <f>IFERROR(INDEX('Known Players'!$D$5:$D$500,MATCH(B175&amp;"|"&amp;C175,'Known Players'!$F$5:$F$500,0)),"")</f>
        <v/>
      </c>
      <c r="P175">
        <f>IFERROR(INDEX('Known Players'!$G$5:$G$500,MATCH(B175&amp;"|"&amp;C175,'Known Players'!$F$5:$F$500,0)),"")</f>
        <v/>
      </c>
    </row>
    <row r="176">
      <c r="A176" t="n">
        <v>54</v>
      </c>
      <c r="B176" t="inlineStr">
        <is>
          <t>Player0474</t>
        </is>
      </c>
      <c r="C176" t="inlineStr">
        <is>
          <t>ExampleWorld066</t>
        </is>
      </c>
      <c r="D176" t="inlineStr">
        <is>
          <t>Horde</t>
        </is>
      </c>
      <c r="E176" t="n">
        <v>0</v>
      </c>
      <c r="F176" t="n">
        <v>3</v>
      </c>
      <c r="G176" t="n">
        <v>4</v>
      </c>
      <c r="H176" s="5" t="n">
        <v>4.472827</v>
      </c>
      <c r="I176" s="5" t="n">
        <v>49.411567</v>
      </c>
      <c r="M176">
        <f>COUNTIFS($B$5:$B$2000,B176,$C$5:$C$2000,C176)+COUNTIFS('GM Roster'!$B$5:$B$2000,B176,'GM Roster'!$C$5:$C$2000,C176)</f>
        <v/>
      </c>
      <c r="N176">
        <f>IFERROR(INDEX('Known Players'!$C$5:$C$500,MATCH(B176&amp;"|"&amp;C176,'Known Players'!$F$5:$F$500,0)),"")</f>
        <v/>
      </c>
      <c r="O176">
        <f>IFERROR(INDEX('Known Players'!$D$5:$D$500,MATCH(B176&amp;"|"&amp;C176,'Known Players'!$F$5:$F$500,0)),"")</f>
        <v/>
      </c>
      <c r="P176">
        <f>IFERROR(INDEX('Known Players'!$G$5:$G$500,MATCH(B176&amp;"|"&amp;C176,'Known Players'!$F$5:$F$500,0)),"")</f>
        <v/>
      </c>
    </row>
    <row r="177"/>
    <row r="178">
      <c r="A178" t="inlineStr">
        <is>
          <t>Games 48-49: 16 of 20 players visible. Games 50-54: full rosters. Values rounded as shown except Asterknight's footer totals.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Asterknight — Arena Log</t>
        </is>
      </c>
    </row>
    <row r="2">
      <c r="A2" t="inlineStr">
        <is>
          <t>Games 1-2 from REFlex; games 3+ from scoreboards.</t>
        </is>
      </c>
    </row>
    <row r="3"/>
    <row r="4">
      <c r="A4" t="inlineStr">
        <is>
          <t>#</t>
        </is>
      </c>
      <c r="B4" t="inlineStr">
        <is>
          <t>Date</t>
        </is>
      </c>
      <c r="C4" t="inlineStr">
        <is>
          <t>Arena</t>
        </is>
      </c>
      <c r="D4" t="inlineStr">
        <is>
          <t>Bracket</t>
        </is>
      </c>
      <c r="E4" t="inlineStr">
        <is>
          <t>Result</t>
        </is>
      </c>
      <c r="F4" t="inlineStr">
        <is>
          <t>Partner</t>
        </is>
      </c>
      <c r="G4" t="inlineStr">
        <is>
          <t>Opponents</t>
        </is>
      </c>
      <c r="H4" t="inlineStr">
        <is>
          <t>Duration</t>
        </is>
      </c>
      <c r="I4" t="inlineStr">
        <is>
          <t>KB</t>
        </is>
      </c>
      <c r="J4" t="inlineStr">
        <is>
          <t>Damage (M)</t>
        </is>
      </c>
      <c r="K4" t="inlineStr">
        <is>
          <t>Healing (M)</t>
        </is>
      </c>
      <c r="L4" t="inlineStr">
        <is>
          <t>Conquest</t>
        </is>
      </c>
      <c r="M4" t="inlineStr">
        <is>
          <t>Notes</t>
        </is>
      </c>
    </row>
    <row r="5">
      <c r="A5" t="n">
        <v>1</v>
      </c>
      <c r="B5" s="10" t="n">
        <v>47773</v>
      </c>
      <c r="C5" t="inlineStr">
        <is>
          <t>TTP</t>
        </is>
      </c>
      <c r="D5" t="inlineStr">
        <is>
          <t>2v2 skirmish</t>
        </is>
      </c>
      <c r="E5" t="inlineStr">
        <is>
          <t>W</t>
        </is>
      </c>
      <c r="G5" t="inlineStr">
        <is>
          <t>1 visible icon</t>
        </is>
      </c>
      <c r="H5" t="inlineStr">
        <is>
          <t>1:17</t>
        </is>
      </c>
      <c r="J5" s="5" t="n">
        <v>2.297267</v>
      </c>
      <c r="K5" s="5" t="n">
        <v>1.461567</v>
      </c>
    </row>
    <row r="6">
      <c r="A6" t="n">
        <v>2</v>
      </c>
      <c r="B6" s="10" t="n">
        <v>47774</v>
      </c>
      <c r="C6" t="inlineStr">
        <is>
          <t>TR</t>
        </is>
      </c>
      <c r="D6" t="inlineStr">
        <is>
          <t>2v2 skirmish</t>
        </is>
      </c>
      <c r="E6" t="inlineStr">
        <is>
          <t>L</t>
        </is>
      </c>
      <c r="G6" t="inlineStr">
        <is>
          <t>2 enemies</t>
        </is>
      </c>
      <c r="H6" t="inlineStr">
        <is>
          <t>1:03</t>
        </is>
      </c>
      <c r="J6" s="5" t="n">
        <v>2.532907</v>
      </c>
      <c r="K6" s="5" t="n">
        <v>2.546607</v>
      </c>
    </row>
    <row r="7">
      <c r="A7" t="n">
        <v>3</v>
      </c>
      <c r="B7" s="10" t="n">
        <v>47777</v>
      </c>
      <c r="D7" t="inlineStr">
        <is>
          <t>2v2 skirmish (unrated, for weekly missions)</t>
        </is>
      </c>
      <c r="E7" t="inlineStr">
        <is>
          <t>W</t>
        </is>
      </c>
      <c r="F7" t="inlineStr">
        <is>
          <t>Player0680-ExampleWorld017 (Frost Death Knight)</t>
        </is>
      </c>
      <c r="G7" t="inlineStr">
        <is>
          <t>Player0400-ExampleWorld104 (Arms Warrior), Player0107-ExampleWorld104 (Mage)</t>
        </is>
      </c>
      <c r="I7" t="n">
        <v>7</v>
      </c>
      <c r="J7" s="5" t="n">
        <v>2.828827</v>
      </c>
      <c r="K7" s="5" t="n">
        <v>2.582227</v>
      </c>
      <c r="L7" t="n">
        <v>62</v>
      </c>
      <c r="M7" t="inlineStr">
        <is>
          <t>Synthetic example</t>
        </is>
      </c>
    </row>
    <row r="8">
      <c r="A8" t="n">
        <v>4</v>
      </c>
      <c r="B8" s="10" t="n">
        <v>47777</v>
      </c>
      <c r="D8" t="inlineStr">
        <is>
          <t>2v2 skirmish (unrated, for weekly missions)</t>
        </is>
      </c>
      <c r="E8" t="inlineStr">
        <is>
          <t>L</t>
        </is>
      </c>
      <c r="F8" t="inlineStr">
        <is>
          <t>Player0400-ExampleWorld104 (Arms Warrior)</t>
        </is>
      </c>
      <c r="G8" t="inlineStr">
        <is>
          <t>Player0107-ExampleWorld104 (Mage), Player0608-ExampleWorld023 (Warlock)</t>
        </is>
      </c>
      <c r="H8" t="inlineStr">
        <is>
          <t>~2:00</t>
        </is>
      </c>
      <c r="I8" t="n">
        <v>0</v>
      </c>
      <c r="J8" s="5" t="n">
        <v>2.513727</v>
      </c>
      <c r="K8" s="5" t="n">
        <v>2.467147</v>
      </c>
      <c r="L8" t="n">
        <v>0</v>
      </c>
      <c r="M8" t="inlineStr">
        <is>
          <t>Synthetic example</t>
        </is>
      </c>
    </row>
    <row r="9">
      <c r="A9" t="n">
        <v>5</v>
      </c>
      <c r="B9" s="10" t="n">
        <v>47777</v>
      </c>
      <c r="D9" t="inlineStr">
        <is>
          <t>2v2 skirmish (unrated, for weekly missions)</t>
        </is>
      </c>
      <c r="E9" t="inlineStr">
        <is>
          <t>W</t>
        </is>
      </c>
      <c r="F9" t="inlineStr">
        <is>
          <t>Player0928-ExampleWorld104</t>
        </is>
      </c>
      <c r="G9" t="inlineStr">
        <is>
          <t>Player0572-ExampleWorld104, Player0686-ExampleWorld164</t>
        </is>
      </c>
      <c r="I9" t="n">
        <v>4</v>
      </c>
      <c r="J9" s="5" t="n">
        <v>2.798687</v>
      </c>
      <c r="K9" s="5" t="n">
        <v>1.993127</v>
      </c>
      <c r="L9" t="n">
        <v>26</v>
      </c>
      <c r="M9" t="inlineStr">
        <is>
          <t>Synthetic example</t>
        </is>
      </c>
    </row>
    <row r="10">
      <c r="A10" t="n">
        <v>6</v>
      </c>
      <c r="B10" s="10" t="n">
        <v>47777</v>
      </c>
      <c r="D10" t="inlineStr">
        <is>
          <t>2v2 skirmish (unrated, for weekly missions)</t>
        </is>
      </c>
      <c r="E10" t="inlineStr">
        <is>
          <t>W</t>
        </is>
      </c>
      <c r="F10" t="inlineStr">
        <is>
          <t>Emberguard-SandboxRealm (Buddy A, MM Hunter)</t>
        </is>
      </c>
      <c r="G10" t="inlineStr">
        <is>
          <t>Player0079-ExampleWorld005, Player0944-ExampleWorld144</t>
        </is>
      </c>
      <c r="I10" t="n">
        <v>0</v>
      </c>
      <c r="J10" s="5" t="n">
        <v>3.376827</v>
      </c>
      <c r="K10" s="5" t="n">
        <v>3.379567</v>
      </c>
      <c r="L10" t="n">
        <v>62</v>
      </c>
      <c r="M10" t="inlineStr">
        <is>
          <t>Synthetic example</t>
        </is>
      </c>
    </row>
    <row r="11">
      <c r="A11" t="n">
        <v>7</v>
      </c>
      <c r="B11" s="10" t="n">
        <v>47777</v>
      </c>
      <c r="D11" t="inlineStr">
        <is>
          <t>2v2 skirmish (unrated, for weekly missions)</t>
        </is>
      </c>
      <c r="E11" t="inlineStr">
        <is>
          <t>W</t>
        </is>
      </c>
      <c r="F11" t="inlineStr">
        <is>
          <t>Emberguard-SandboxRealm (Buddy A, MM Hunter)</t>
        </is>
      </c>
      <c r="G11" t="inlineStr">
        <is>
          <t>Player0878-ExampleWorld034, Player0128-ExampleWorld164</t>
        </is>
      </c>
      <c r="I11" t="n">
        <v>0</v>
      </c>
      <c r="J11" s="5" t="n">
        <v>2.379467</v>
      </c>
      <c r="K11" s="5" t="n">
        <v>2.127387</v>
      </c>
      <c r="L11" t="n">
        <v>26</v>
      </c>
      <c r="M11" t="inlineStr">
        <is>
          <t>Synthetic example</t>
        </is>
      </c>
    </row>
    <row r="12">
      <c r="A12" t="n">
        <v>8</v>
      </c>
      <c r="B12" s="10" t="n">
        <v>47777</v>
      </c>
      <c r="D12" t="inlineStr">
        <is>
          <t>2v2 rated</t>
        </is>
      </c>
      <c r="E12" t="inlineStr">
        <is>
          <t>L</t>
        </is>
      </c>
      <c r="F12" t="inlineStr">
        <is>
          <t>Thornpaw-SandboxRealm (Buddy B, Player0724 Priest, New)</t>
        </is>
      </c>
      <c r="G12" t="inlineStr">
        <is>
          <t>Player0404-ExampleWorld139, Player0829-ExampleWorld164 (healer by stats)</t>
        </is>
      </c>
      <c r="I12" t="n">
        <v>0</v>
      </c>
      <c r="J12" s="5" t="n">
        <v>4.746827</v>
      </c>
      <c r="K12" s="5" t="n">
        <v>1.475267</v>
      </c>
      <c r="L12" t="n">
        <v>0</v>
      </c>
      <c r="M12" t="inlineStr">
        <is>
          <t>Synthetic example</t>
        </is>
      </c>
    </row>
    <row r="13">
      <c r="A13" t="n">
        <v>9</v>
      </c>
      <c r="B13" s="10" t="n">
        <v>47777</v>
      </c>
      <c r="D13" t="inlineStr">
        <is>
          <t>2v2 rated</t>
        </is>
      </c>
      <c r="E13" t="inlineStr">
        <is>
          <t>L</t>
        </is>
      </c>
      <c r="F13" t="inlineStr">
        <is>
          <t>Thornpaw-SandboxRealm (Buddy B, Player0724 Priest, New)</t>
        </is>
      </c>
      <c r="G13" t="inlineStr">
        <is>
          <t>Player0895-ExampleWorld102, Player0626-SandboxRealm (no healer by stats)</t>
        </is>
      </c>
      <c r="I13" t="n">
        <v>4</v>
      </c>
      <c r="J13" s="5" t="n">
        <v>4.746827</v>
      </c>
      <c r="K13" s="5" t="n">
        <v>3.927567</v>
      </c>
      <c r="L13" t="n">
        <v>0</v>
      </c>
      <c r="M13" t="inlineStr">
        <is>
          <t>Synthetic example</t>
        </is>
      </c>
    </row>
    <row r="14">
      <c r="A14" t="n">
        <v>10</v>
      </c>
      <c r="B14" s="10" t="n">
        <v>47777</v>
      </c>
      <c r="D14" t="inlineStr">
        <is>
          <t>2v2 skirmish (unrated, for weekly missions)</t>
        </is>
      </c>
      <c r="E14" t="inlineStr">
        <is>
          <t>L</t>
        </is>
      </c>
      <c r="F14" t="inlineStr">
        <is>
          <t>Thornpaw-SandboxRealm (Buddy B, Player0724 Priest, New)</t>
        </is>
      </c>
      <c r="G14" t="inlineStr">
        <is>
          <t>Player0013-ExampleWorld091, Player0876-PracticeRealm (both DPS by stats)</t>
        </is>
      </c>
      <c r="I14" t="n">
        <v>0</v>
      </c>
      <c r="J14" s="5" t="n">
        <v>3.102827</v>
      </c>
      <c r="K14" s="5" t="n">
        <v>3.927567</v>
      </c>
      <c r="L14" t="n">
        <v>0</v>
      </c>
      <c r="M14" t="inlineStr">
        <is>
          <t>Synthetic example</t>
        </is>
      </c>
    </row>
    <row r="15">
      <c r="A15" t="n">
        <v>11</v>
      </c>
      <c r="B15" s="10" t="n">
        <v>47777</v>
      </c>
      <c r="D15" t="inlineStr">
        <is>
          <t>2v2 rated</t>
        </is>
      </c>
      <c r="E15" t="inlineStr">
        <is>
          <t>L</t>
        </is>
      </c>
      <c r="F15" t="inlineStr">
        <is>
          <t>Thornpaw-SandboxRealm (Buddy B, Player0724 Priest, New)</t>
        </is>
      </c>
      <c r="G15" t="inlineStr">
        <is>
          <t>Player0181-ExampleWorld133, Player0947-SandboxRealm (no healer by stats)</t>
        </is>
      </c>
      <c r="I15" t="n">
        <v>0</v>
      </c>
      <c r="J15" s="5" t="n">
        <v>3.924827</v>
      </c>
      <c r="K15" s="5" t="n">
        <v>4.201567</v>
      </c>
      <c r="L15" t="n">
        <v>0</v>
      </c>
      <c r="M15" t="inlineStr">
        <is>
          <t>Synthetic example</t>
        </is>
      </c>
    </row>
    <row r="16">
      <c r="A16" t="n">
        <v>12</v>
      </c>
      <c r="B16" s="10" t="n">
        <v>47777</v>
      </c>
      <c r="C16" t="inlineStr">
        <is>
          <t>Ashamane's Fall</t>
        </is>
      </c>
      <c r="D16" t="inlineStr">
        <is>
          <t>2v2 skirmish (unrated, for weekly missions)</t>
        </is>
      </c>
      <c r="E16" t="inlineStr">
        <is>
          <t>W</t>
        </is>
      </c>
      <c r="F16" t="inlineStr">
        <is>
          <t>Player0057-ExampleWorld196 (pug, Unholy Death Knight)</t>
        </is>
      </c>
      <c r="G16" t="inlineStr">
        <is>
          <t>Playerë0649-ExampleWorld091 (BM Hunter), Player0857-ExampleWorld179 (Ret Paladin)</t>
        </is>
      </c>
      <c r="H16" t="inlineStr">
        <is>
          <t>1:16</t>
        </is>
      </c>
      <c r="I16" t="n">
        <v>0</v>
      </c>
      <c r="J16" s="5" t="n">
        <v>1.620487</v>
      </c>
      <c r="K16" s="5" t="n">
        <v>2.831567</v>
      </c>
      <c r="L16" t="n">
        <v>26</v>
      </c>
      <c r="M16" t="inlineStr">
        <is>
          <t>Synthetic example</t>
        </is>
      </c>
    </row>
    <row r="17">
      <c r="A17" t="n">
        <v>13</v>
      </c>
      <c r="B17" s="10" t="n">
        <v>47777</v>
      </c>
      <c r="C17" t="inlineStr">
        <is>
          <t>Black Rook Hold Arena</t>
        </is>
      </c>
      <c r="D17" t="inlineStr">
        <is>
          <t>2v2 (rated or skirmish: unverified)</t>
        </is>
      </c>
      <c r="E17" t="inlineStr">
        <is>
          <t>W</t>
        </is>
      </c>
      <c r="F17" t="inlineStr">
        <is>
          <t>Emberguard-SandboxRealm (Buddy A, MM Hunter)</t>
        </is>
      </c>
      <c r="G17" t="inlineStr">
        <is>
          <t>Player0841-ExampleWorld021 (Frost Mage), Player0300-ExampleWorld021 (MM Hunter)</t>
        </is>
      </c>
      <c r="H17" t="inlineStr">
        <is>
          <t>0:33</t>
        </is>
      </c>
      <c r="I17" t="n">
        <v>4</v>
      </c>
      <c r="J17" s="5" t="n">
        <v>2.489067</v>
      </c>
      <c r="K17" s="5" t="n">
        <v>2.916507</v>
      </c>
      <c r="M17" t="inlineStr">
        <is>
          <t>Synthetic example</t>
        </is>
      </c>
    </row>
    <row r="18"/>
    <row r="19">
      <c r="A19" t="inlineStr">
        <is>
          <t>Record</t>
        </is>
      </c>
      <c r="B19">
        <f>COUNTIF(E5:E500,"W")&amp;"-"&amp;COUNTIF(E5:E500,"L")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Mossweaver — Summary</t>
        </is>
      </c>
    </row>
    <row r="2">
      <c r="A2" t="inlineStr">
        <is>
          <t>All values calculate from the GM Battlegrounds tab.</t>
        </is>
      </c>
    </row>
    <row r="3">
      <c r="A3" t="inlineStr">
        <is>
          <t>Stat</t>
        </is>
      </c>
      <c r="B3" t="inlineStr">
        <is>
          <t>Value</t>
        </is>
      </c>
    </row>
    <row r="4">
      <c r="A4" t="inlineStr">
        <is>
          <t>Games</t>
        </is>
      </c>
      <c r="B4" s="1">
        <f>COUNTA('GM Battlegrounds'!$D$5:$D$1000)</f>
        <v/>
      </c>
    </row>
    <row r="5">
      <c r="A5" t="inlineStr">
        <is>
          <t>Wins</t>
        </is>
      </c>
      <c r="B5" s="1">
        <f>COUNTIF('GM Battlegrounds'!$G$5:$G$1000,"W")</f>
        <v/>
      </c>
    </row>
    <row r="6">
      <c r="A6" t="inlineStr">
        <is>
          <t>Losses</t>
        </is>
      </c>
      <c r="B6" s="1">
        <f>COUNTIF('GM Battlegrounds'!$G$5:$G$1000,"L")</f>
        <v/>
      </c>
    </row>
    <row r="7">
      <c r="A7" t="inlineStr">
        <is>
          <t>Win rate</t>
        </is>
      </c>
      <c r="B7" s="2">
        <f>IF(B4=0,0,B5/B4)</f>
        <v/>
      </c>
    </row>
    <row r="8">
      <c r="A8" t="inlineStr">
        <is>
          <t>Total healing (M)</t>
        </is>
      </c>
      <c r="B8" s="4">
        <f>SUM('GM Battlegrounds'!$O$5:$O$1000)</f>
        <v/>
      </c>
    </row>
    <row r="9">
      <c r="A9" t="inlineStr">
        <is>
          <t>Avg healing per game (M)</t>
        </is>
      </c>
      <c r="B9" s="5">
        <f>AVERAGE('GM Battlegrounds'!$O$5:$O$1000)</f>
        <v/>
      </c>
    </row>
    <row r="10">
      <c r="A10" t="inlineStr">
        <is>
          <t>Healing per minute (M)</t>
        </is>
      </c>
      <c r="B10" s="5">
        <f>SUM('GM Battlegrounds'!$O$5:$O$1000)/(SUM('GM Battlegrounds'!$F$5:$F$1000)*1440)</f>
        <v/>
      </c>
    </row>
    <row r="11">
      <c r="A11" t="inlineStr">
        <is>
          <t>Best healing (M)</t>
        </is>
      </c>
      <c r="B11" s="5">
        <f>MAX('GM Battlegrounds'!$O$5:$O$1000)</f>
        <v/>
      </c>
    </row>
    <row r="12">
      <c r="A12" t="inlineStr">
        <is>
          <t>Total player0354 kills</t>
        </is>
      </c>
      <c r="B12" s="3">
        <f>SUM('GM Battlegrounds'!$L$5:$L$1000)</f>
        <v/>
      </c>
    </row>
    <row r="13">
      <c r="A13" t="inlineStr">
        <is>
          <t>Avg player0354 kills</t>
        </is>
      </c>
      <c r="B13" s="4">
        <f>AVERAGE('GM Battlegrounds'!$L$5:$L$1000)</f>
        <v/>
      </c>
    </row>
    <row r="14">
      <c r="A14" t="inlineStr">
        <is>
          <t>Total killing blows</t>
        </is>
      </c>
      <c r="B14" s="1">
        <f>SUM('GM Battlegrounds'!$K$5:$K$1000)</f>
        <v/>
      </c>
    </row>
    <row r="15">
      <c r="A15" t="inlineStr">
        <is>
          <t>Games with deaths tracked</t>
        </is>
      </c>
      <c r="B15" s="1">
        <f>COUNT('GM Battlegrounds'!$M$5:$M$1000)</f>
        <v/>
      </c>
    </row>
    <row r="16">
      <c r="A16" t="inlineStr">
        <is>
          <t>Avg deaths (tracked)</t>
        </is>
      </c>
      <c r="B16" s="5">
        <f>IF(B15=0,"",AVERAGE('GM Battlegrounds'!$M$5:$M$1000))</f>
        <v/>
      </c>
    </row>
    <row r="17">
      <c r="A17" t="inlineStr">
        <is>
          <t>Zero-death games (tracked)</t>
        </is>
      </c>
      <c r="B17" s="1">
        <f>COUNTIF('GM Battlegrounds'!$M$5:$M$1000,0)</f>
        <v/>
      </c>
    </row>
    <row r="18">
      <c r="A18" t="inlineStr">
        <is>
          <t>Avg healing vs next Horde healer</t>
        </is>
      </c>
      <c r="B18" s="6">
        <f>IFERROR(AVERAGE('GM Battlegrounds'!$V$5:$V$1000),"")</f>
        <v/>
      </c>
    </row>
    <row r="19">
      <c r="A19" t="inlineStr">
        <is>
          <t>Rated games</t>
        </is>
      </c>
      <c r="B19" s="1">
        <f>COUNTIF('GM Battlegrounds'!$H$5:$H$1000,"Yes")</f>
        <v/>
      </c>
    </row>
    <row r="20">
      <c r="A20" t="inlineStr">
        <is>
          <t>Total honor</t>
        </is>
      </c>
      <c r="B20" s="3">
        <f>SUM('GM Battlegrounds'!$Q$5:$Q$1000)</f>
        <v/>
      </c>
    </row>
    <row r="21"/>
    <row r="22"/>
    <row r="23">
      <c r="A23" t="inlineStr">
        <is>
          <t>By map type</t>
        </is>
      </c>
    </row>
    <row r="24">
      <c r="A24" t="inlineStr">
        <is>
          <t>Map type</t>
        </is>
      </c>
      <c r="B24" t="inlineStr">
        <is>
          <t>Games</t>
        </is>
      </c>
      <c r="C24" t="inlineStr">
        <is>
          <t>Wins</t>
        </is>
      </c>
      <c r="D24" t="inlineStr">
        <is>
          <t>Win rate</t>
        </is>
      </c>
      <c r="E24" t="inlineStr">
        <is>
          <t>Avg healing (M)</t>
        </is>
      </c>
      <c r="F24" t="inlineStr">
        <is>
          <t>Healing / min (M)</t>
        </is>
      </c>
      <c r="G24" t="inlineStr">
        <is>
          <t>Avg HKs</t>
        </is>
      </c>
    </row>
    <row r="25">
      <c r="A25" t="inlineStr">
        <is>
          <t>Bases</t>
        </is>
      </c>
      <c r="B25">
        <f>COUNTIF('GM Battlegrounds'!$E$5:$E$1000,A25)</f>
        <v/>
      </c>
      <c r="C25">
        <f>COUNTIFS('GM Battlegrounds'!$E$5:$E$1000,A25,'GM Battlegrounds'!$G$5:$G$1000,"W")</f>
        <v/>
      </c>
      <c r="D25" s="6">
        <f>IF(B25=0,"",C25/B25)</f>
        <v/>
      </c>
      <c r="E25" s="5">
        <f>IF(B25=0,"",SUMIFS('GM Battlegrounds'!$O$5:$O$1000,'GM Battlegrounds'!$E$5:$E$1000,A25)/B25)</f>
        <v/>
      </c>
      <c r="F25" s="5">
        <f>IFERROR(IF(B25=0,"",SUMIFS('GM Battlegrounds'!$O$5:$O$1000,'GM Battlegrounds'!$E$5:$E$1000,A25)/(SUMIFS('GM Battlegrounds'!$F$5:$F$1000,'GM Battlegrounds'!$E$5:$E$1000,A25)*1440)),"")</f>
        <v/>
      </c>
      <c r="G25" s="4">
        <f>IF(B25=0,"",SUMIFS('GM Battlegrounds'!$L$5:$L$1000,'GM Battlegrounds'!$E$5:$E$1000,A25)/B25)</f>
        <v/>
      </c>
    </row>
    <row r="26">
      <c r="A26" t="inlineStr">
        <is>
          <t>Flag</t>
        </is>
      </c>
      <c r="B26">
        <f>COUNTIF('GM Battlegrounds'!$E$5:$E$1000,A26)</f>
        <v/>
      </c>
      <c r="C26">
        <f>COUNTIFS('GM Battlegrounds'!$E$5:$E$1000,A26,'GM Battlegrounds'!$G$5:$G$1000,"W")</f>
        <v/>
      </c>
      <c r="D26" s="6">
        <f>IF(B26=0,"",C26/B26)</f>
        <v/>
      </c>
      <c r="E26" s="5">
        <f>IF(B26=0,"",SUMIFS('GM Battlegrounds'!$O$5:$O$1000,'GM Battlegrounds'!$E$5:$E$1000,A26)/B26)</f>
        <v/>
      </c>
      <c r="F26" s="5">
        <f>IFERROR(IF(B26=0,"",SUMIFS('GM Battlegrounds'!$O$5:$O$1000,'GM Battlegrounds'!$E$5:$E$1000,A26)/(SUMIFS('GM Battlegrounds'!$F$5:$F$1000,'GM Battlegrounds'!$E$5:$E$1000,A26)*1440)),"")</f>
        <v/>
      </c>
      <c r="G26" s="4">
        <f>IF(B26=0,"",SUMIFS('GM Battlegrounds'!$L$5:$L$1000,'GM Battlegrounds'!$E$5:$E$1000,A26)/B26)</f>
        <v/>
      </c>
    </row>
    <row r="27">
      <c r="A27" t="inlineStr">
        <is>
          <t>Flag + Bases</t>
        </is>
      </c>
      <c r="B27">
        <f>COUNTIF('GM Battlegrounds'!$E$5:$E$1000,A27)</f>
        <v/>
      </c>
      <c r="C27">
        <f>COUNTIFS('GM Battlegrounds'!$E$5:$E$1000,A27,'GM Battlegrounds'!$G$5:$G$1000,"W")</f>
        <v/>
      </c>
      <c r="D27" s="6">
        <f>IF(B27=0,"",C27/B27)</f>
        <v/>
      </c>
      <c r="E27" s="5">
        <f>IF(B27=0,"",SUMIFS('GM Battlegrounds'!$O$5:$O$1000,'GM Battlegrounds'!$E$5:$E$1000,A27)/B27)</f>
        <v/>
      </c>
      <c r="F27" s="5">
        <f>IFERROR(IF(B27=0,"",SUMIFS('GM Battlegrounds'!$O$5:$O$1000,'GM Battlegrounds'!$E$5:$E$1000,A27)/(SUMIFS('GM Battlegrounds'!$F$5:$F$1000,'GM Battlegrounds'!$E$5:$E$1000,A27)*1440)),"")</f>
        <v/>
      </c>
      <c r="G27" s="4">
        <f>IF(B27=0,"",SUMIFS('GM Battlegrounds'!$L$5:$L$1000,'GM Battlegrounds'!$E$5:$E$1000,A27)/B27)</f>
        <v/>
      </c>
    </row>
    <row r="28">
      <c r="A28" t="inlineStr">
        <is>
          <t>Orbs</t>
        </is>
      </c>
      <c r="B28">
        <f>COUNTIF('GM Battlegrounds'!$E$5:$E$1000,A28)</f>
        <v/>
      </c>
      <c r="C28">
        <f>COUNTIFS('GM Battlegrounds'!$E$5:$E$1000,A28,'GM Battlegrounds'!$G$5:$G$1000,"W")</f>
        <v/>
      </c>
      <c r="D28" s="6">
        <f>IF(B28=0,"",C28/B28)</f>
        <v/>
      </c>
      <c r="E28" s="5">
        <f>IF(B28=0,"",SUMIFS('GM Battlegrounds'!$O$5:$O$1000,'GM Battlegrounds'!$E$5:$E$1000,A28)/B28)</f>
        <v/>
      </c>
      <c r="F28" s="5">
        <f>IFERROR(IF(B28=0,"",SUMIFS('GM Battlegrounds'!$O$5:$O$1000,'GM Battlegrounds'!$E$5:$E$1000,A28)/(SUMIFS('GM Battlegrounds'!$F$5:$F$1000,'GM Battlegrounds'!$E$5:$E$1000,A28)*1440)),"")</f>
        <v/>
      </c>
      <c r="G28" s="4">
        <f>IF(B28=0,"",SUMIFS('GM Battlegrounds'!$L$5:$L$1000,'GM Battlegrounds'!$E$5:$E$1000,A28)/B28)</f>
        <v/>
      </c>
    </row>
    <row r="29">
      <c r="A29" t="inlineStr">
        <is>
          <t>Carts</t>
        </is>
      </c>
      <c r="B29">
        <f>COUNTIF('GM Battlegrounds'!$E$5:$E$1000,A29)</f>
        <v/>
      </c>
      <c r="C29">
        <f>COUNTIFS('GM Battlegrounds'!$E$5:$E$1000,A29,'GM Battlegrounds'!$G$5:$G$1000,"W")</f>
        <v/>
      </c>
      <c r="D29" s="6">
        <f>IF(B29=0,"",C29/B29)</f>
        <v/>
      </c>
      <c r="E29" s="5">
        <f>IF(B29=0,"",SUMIFS('GM Battlegrounds'!$O$5:$O$1000,'GM Battlegrounds'!$E$5:$E$1000,A29)/B29)</f>
        <v/>
      </c>
      <c r="F29" s="5">
        <f>IFERROR(IF(B29=0,"",SUMIFS('GM Battlegrounds'!$O$5:$O$1000,'GM Battlegrounds'!$E$5:$E$1000,A29)/(SUMIFS('GM Battlegrounds'!$F$5:$F$1000,'GM Battlegrounds'!$E$5:$E$1000,A29)*1440)),"")</f>
        <v/>
      </c>
      <c r="G29" s="4">
        <f>IF(B29=0,"",SUMIFS('GM Battlegrounds'!$L$5:$L$1000,'GM Battlegrounds'!$E$5:$E$1000,A29)/B29)</f>
        <v/>
      </c>
    </row>
    <row r="30">
      <c r="A30" t="inlineStr">
        <is>
          <t>Epic</t>
        </is>
      </c>
      <c r="B30">
        <f>COUNTIF('GM Battlegrounds'!$E$5:$E$1000,A30)</f>
        <v/>
      </c>
      <c r="C30">
        <f>COUNTIFS('GM Battlegrounds'!$E$5:$E$1000,A30,'GM Battlegrounds'!$G$5:$G$1000,"W")</f>
        <v/>
      </c>
      <c r="D30" s="6">
        <f>IF(B30=0,"",C30/B30)</f>
        <v/>
      </c>
      <c r="E30" s="5">
        <f>IF(B30=0,"",SUMIFS('GM Battlegrounds'!$O$5:$O$1000,'GM Battlegrounds'!$E$5:$E$1000,A30)/B30)</f>
        <v/>
      </c>
      <c r="F30" s="5">
        <f>IFERROR(IF(B30=0,"",SUMIFS('GM Battlegrounds'!$O$5:$O$1000,'GM Battlegrounds'!$E$5:$E$1000,A30)/(SUMIFS('GM Battlegrounds'!$F$5:$F$1000,'GM Battlegrounds'!$E$5:$E$1000,A30)*1440)),"")</f>
        <v/>
      </c>
      <c r="G30" s="4">
        <f>IF(B30=0,"",SUMIFS('GM Battlegrounds'!$L$5:$L$1000,'GM Battlegrounds'!$E$5:$E$1000,A30)/B30)</f>
        <v/>
      </c>
    </row>
    <row r="31"/>
    <row r="32">
      <c r="A32" t="inlineStr">
        <is>
          <t>Season ratings (Midnight Season 2, from the PvP panel)</t>
        </is>
      </c>
    </row>
    <row r="33">
      <c r="A33" t="inlineStr">
        <is>
          <t>Bracket</t>
        </is>
      </c>
      <c r="B33" t="inlineStr">
        <is>
          <t>Current rating</t>
        </is>
      </c>
      <c r="C33" t="inlineStr">
        <is>
          <t>Season best</t>
        </is>
      </c>
      <c r="D33" t="inlineStr">
        <is>
          <t>Won</t>
        </is>
      </c>
      <c r="E33" t="inlineStr">
        <is>
          <t>Played</t>
        </is>
      </c>
      <c r="F33" t="inlineStr">
        <is>
          <t>Win rate</t>
        </is>
      </c>
    </row>
    <row r="34">
      <c r="A34" t="inlineStr">
        <is>
          <t>Solo Shuffle (rounds)</t>
        </is>
      </c>
      <c r="B34" t="n">
        <v>1243</v>
      </c>
      <c r="C34" t="n">
        <v>1303</v>
      </c>
      <c r="D34" t="n">
        <v>47</v>
      </c>
      <c r="E34" t="n">
        <v>118</v>
      </c>
      <c r="F34" s="6">
        <f>IF(E34=0,"",D34/E34)</f>
        <v/>
      </c>
    </row>
    <row r="35">
      <c r="A35" t="inlineStr">
        <is>
          <t>Solo BG Blitz</t>
        </is>
      </c>
      <c r="B35" t="n">
        <v>860</v>
      </c>
      <c r="C35" t="n">
        <v>860</v>
      </c>
      <c r="D35" t="n">
        <v>3</v>
      </c>
      <c r="E35" t="n">
        <v>22</v>
      </c>
      <c r="F35" s="6">
        <f>IF(E35=0,"",D35/E35)</f>
        <v/>
      </c>
    </row>
    <row r="36">
      <c r="A36" t="inlineStr">
        <is>
          <t>2v2</t>
        </is>
      </c>
      <c r="B36" t="n">
        <v>479</v>
      </c>
      <c r="C36" t="n">
        <v>479</v>
      </c>
      <c r="D36" t="n">
        <v>5</v>
      </c>
      <c r="E36" t="n">
        <v>10</v>
      </c>
      <c r="F36" s="6">
        <f>IF(E36=0,"",D36/E36)</f>
        <v/>
      </c>
    </row>
    <row r="37">
      <c r="A37" t="inlineStr">
        <is>
          <t>3v3</t>
        </is>
      </c>
      <c r="B37" t="n">
        <v>1148</v>
      </c>
      <c r="C37" t="n">
        <v>1148</v>
      </c>
      <c r="D37" t="n">
        <v>12</v>
      </c>
      <c r="E37" t="n">
        <v>33</v>
      </c>
      <c r="F37" s="6">
        <f>IF(E37=0,"",D37/E37)</f>
        <v/>
      </c>
    </row>
    <row r="38">
      <c r="A38" t="inlineStr">
        <is>
          <t>10v10 Rated BG</t>
        </is>
      </c>
      <c r="B38" t="n">
        <v>0</v>
      </c>
      <c r="C38" t="n">
        <v>0</v>
      </c>
      <c r="D38" t="n">
        <v>0</v>
      </c>
      <c r="E38" t="n">
        <v>0</v>
      </c>
      <c r="F38" s="6">
        <f>IF(E38=0,"",D38/E38)</f>
        <v/>
      </c>
    </row>
    <row r="39"/>
    <row r="40">
      <c r="A40" t="inlineStr">
        <is>
          <t>Snapshot from 10/20/2026; 2v2 updated 10/21 from a scoreboard (+95 win). Update when you check the PvP panel. Shuffle counts rounds, not lobbies.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4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Mossweaver — Battleground Match Log</t>
        </is>
      </c>
    </row>
    <row r="2">
      <c r="A2" t="inlineStr">
        <is>
          <t>Blue = entered data · Black = formulas · Green rows = wins, red rows = losses.</t>
        </is>
      </c>
    </row>
    <row r="3"/>
    <row r="4">
      <c r="A4" t="inlineStr">
        <is>
          <t>Game #</t>
        </is>
      </c>
      <c r="B4" t="inlineStr">
        <is>
          <t>Date</t>
        </is>
      </c>
      <c r="C4" t="inlineStr">
        <is>
          <t>Time</t>
        </is>
      </c>
      <c r="D4" t="inlineStr">
        <is>
          <t>Battleground</t>
        </is>
      </c>
      <c r="E4" t="inlineStr">
        <is>
          <t>Map type</t>
        </is>
      </c>
      <c r="F4" t="inlineStr">
        <is>
          <t>Duration</t>
        </is>
      </c>
      <c r="G4" t="inlineStr">
        <is>
          <t>Result</t>
        </is>
      </c>
      <c r="H4" t="inlineStr">
        <is>
          <t>Rated?</t>
        </is>
      </c>
      <c r="I4" t="inlineStr">
        <is>
          <t>Our score</t>
        </is>
      </c>
      <c r="J4" t="inlineStr">
        <is>
          <t>Enemy score</t>
        </is>
      </c>
      <c r="K4" t="inlineStr">
        <is>
          <t>KB</t>
        </is>
      </c>
      <c r="L4" t="inlineStr">
        <is>
          <t>HK</t>
        </is>
      </c>
      <c r="M4" t="inlineStr">
        <is>
          <t>Deaths</t>
        </is>
      </c>
      <c r="N4" t="inlineStr">
        <is>
          <t>Damage (M)</t>
        </is>
      </c>
      <c r="O4" t="inlineStr">
        <is>
          <t>Healing (M)</t>
        </is>
      </c>
      <c r="P4" t="inlineStr">
        <is>
          <t>Healing / min (M)</t>
        </is>
      </c>
      <c r="Q4" t="inlineStr">
        <is>
          <t>Honor</t>
        </is>
      </c>
      <c r="R4" t="inlineStr">
        <is>
          <t>Conquest</t>
        </is>
      </c>
      <c r="S4" t="inlineStr">
        <is>
          <t>Role</t>
        </is>
      </c>
      <c r="T4" t="inlineStr">
        <is>
          <t>Healing rank</t>
        </is>
      </c>
      <c r="U4" t="inlineStr">
        <is>
          <t>Next Horde healer (M)</t>
        </is>
      </c>
      <c r="V4" t="inlineStr">
        <is>
          <t>Healing vs next healer</t>
        </is>
      </c>
      <c r="W4" t="inlineStr">
        <is>
          <t>Bases assaulted</t>
        </is>
      </c>
      <c r="X4" t="inlineStr">
        <is>
          <t>Flag captures</t>
        </is>
      </c>
      <c r="Y4" t="inlineStr">
        <is>
          <t>Carts controlled</t>
        </is>
      </c>
      <c r="Z4" t="inlineStr">
        <is>
          <t>Data source</t>
        </is>
      </c>
      <c r="AA4" t="inlineStr">
        <is>
          <t>Notes</t>
        </is>
      </c>
      <c r="AB4" t="inlineStr">
        <is>
          <t>PvP item level</t>
        </is>
      </c>
      <c r="AC4" t="inlineStr">
        <is>
          <t>Horde deaths</t>
        </is>
      </c>
      <c r="AD4" t="inlineStr">
        <is>
          <t>Alliance deaths</t>
        </is>
      </c>
      <c r="AE4" t="inlineStr">
        <is>
          <t>Healers (Horde vs Alliance)</t>
        </is>
      </c>
      <c r="AF4" t="inlineStr">
        <is>
          <t>Horde healing (M)</t>
        </is>
      </c>
      <c r="AG4" t="inlineStr">
        <is>
          <t>Alliance healing (M)</t>
        </is>
      </c>
      <c r="AH4" t="inlineStr">
        <is>
          <t>Premade on mains?</t>
        </is>
      </c>
      <c r="AI4" t="inlineStr">
        <is>
          <t>Teammates on mains</t>
        </is>
      </c>
    </row>
    <row r="5">
      <c r="A5" t="n">
        <v>1</v>
      </c>
      <c r="B5" s="10" t="n">
        <v>47759</v>
      </c>
      <c r="C5" t="inlineStr">
        <is>
          <t>05:05 PM</t>
        </is>
      </c>
      <c r="D5" t="inlineStr">
        <is>
          <t>Deephaul Ravine</t>
        </is>
      </c>
      <c r="E5" t="inlineStr">
        <is>
          <t>Carts</t>
        </is>
      </c>
      <c r="F5" s="11" t="n">
        <v>0.005891203703703704</v>
      </c>
      <c r="G5" t="inlineStr">
        <is>
          <t>L</t>
        </is>
      </c>
      <c r="K5" t="n">
        <v>4</v>
      </c>
      <c r="L5" t="n">
        <v>0</v>
      </c>
      <c r="N5" s="5" t="n">
        <v>3.952227</v>
      </c>
      <c r="O5" s="5" t="n">
        <v>65.659767</v>
      </c>
      <c r="P5" s="5">
        <f>IF(OR(F5="",F5=0),"",O5/(F5*1440))</f>
        <v/>
      </c>
      <c r="Q5" s="3" t="n">
        <v>177</v>
      </c>
      <c r="V5" s="6">
        <f>IF(U5="","",O5/U5)</f>
        <v/>
      </c>
      <c r="Z5" t="inlineStr">
        <is>
          <t>REFlex</t>
        </is>
      </c>
    </row>
    <row r="6">
      <c r="A6" t="n">
        <v>2</v>
      </c>
      <c r="B6" s="10" t="n">
        <v>47759</v>
      </c>
      <c r="C6" t="inlineStr">
        <is>
          <t>05:25 PM</t>
        </is>
      </c>
      <c r="D6" t="inlineStr">
        <is>
          <t>Eye of the Storm</t>
        </is>
      </c>
      <c r="E6" t="inlineStr">
        <is>
          <t>Flag + Bases</t>
        </is>
      </c>
      <c r="F6" s="11" t="n">
        <v>0.007673611111111111</v>
      </c>
      <c r="G6" t="inlineStr">
        <is>
          <t>L</t>
        </is>
      </c>
      <c r="I6" t="n">
        <v>656</v>
      </c>
      <c r="J6" t="n">
        <v>1517</v>
      </c>
      <c r="K6" t="n">
        <v>0</v>
      </c>
      <c r="L6" t="n">
        <v>3</v>
      </c>
      <c r="M6" t="n">
        <v>10</v>
      </c>
      <c r="N6" s="5" t="n">
        <v>5.623627</v>
      </c>
      <c r="O6" s="5" t="n">
        <v>50.699367</v>
      </c>
      <c r="P6" s="5">
        <f>IF(OR(F6="",F6=0),"",O6/(F6*1440))</f>
        <v/>
      </c>
      <c r="Q6" s="3" t="n">
        <v>289</v>
      </c>
      <c r="S6" t="inlineStr">
        <is>
          <t>Healer</t>
        </is>
      </c>
      <c r="U6" s="5" t="n">
        <v>36</v>
      </c>
      <c r="V6" s="6">
        <f>IF(U6="","",O6/U6)</f>
        <v/>
      </c>
      <c r="Z6" t="inlineStr">
        <is>
          <t>REFlex + scoreboard</t>
        </is>
      </c>
      <c r="AA6" t="inlineStr">
        <is>
          <t>Synthetic example</t>
        </is>
      </c>
      <c r="AH6" t="inlineStr">
        <is>
          <t>Yes</t>
        </is>
      </c>
      <c r="AI6" t="inlineStr">
        <is>
          <t>2 of 3 (raid frames + visible roster)</t>
        </is>
      </c>
    </row>
    <row r="7">
      <c r="A7" t="n">
        <v>3</v>
      </c>
      <c r="B7" s="10" t="n">
        <v>47759</v>
      </c>
      <c r="C7" t="inlineStr">
        <is>
          <t>05:40 PM</t>
        </is>
      </c>
      <c r="D7" t="inlineStr">
        <is>
          <t>Deephaul Ravine</t>
        </is>
      </c>
      <c r="E7" t="inlineStr">
        <is>
          <t>Carts</t>
        </is>
      </c>
      <c r="F7" s="11" t="n">
        <v>0.005416666666666667</v>
      </c>
      <c r="G7" t="inlineStr">
        <is>
          <t>W</t>
        </is>
      </c>
      <c r="I7" t="n">
        <v>1517</v>
      </c>
      <c r="J7" t="n">
        <v>617</v>
      </c>
      <c r="K7" t="n">
        <v>0</v>
      </c>
      <c r="L7" t="n">
        <v>2</v>
      </c>
      <c r="M7" t="n">
        <v>0</v>
      </c>
      <c r="N7" s="5" t="n">
        <v>5.541427</v>
      </c>
      <c r="O7" s="5" t="n">
        <v>63.193767</v>
      </c>
      <c r="P7" s="5">
        <f>IF(OR(F7="",F7=0),"",O7/(F7*1440))</f>
        <v/>
      </c>
      <c r="Q7" s="3" t="n">
        <v>528</v>
      </c>
      <c r="S7" t="inlineStr">
        <is>
          <t>Healer / cart escort</t>
        </is>
      </c>
      <c r="U7" s="5" t="n">
        <v>55</v>
      </c>
      <c r="V7" s="6">
        <f>IF(U7="","",O7/U7)</f>
        <v/>
      </c>
      <c r="Y7" t="n">
        <v>20</v>
      </c>
      <c r="Z7" t="inlineStr">
        <is>
          <t>REFlex + scoreboard</t>
        </is>
      </c>
      <c r="AA7" t="inlineStr">
        <is>
          <t>Synthetic example</t>
        </is>
      </c>
      <c r="AH7" t="inlineStr">
        <is>
          <t>Unknown</t>
        </is>
      </c>
      <c r="AI7" t="inlineStr">
        <is>
          <t>1 of 3 (visible; Buddy D's status decides)</t>
        </is>
      </c>
    </row>
    <row r="8">
      <c r="A8" t="n">
        <v>4</v>
      </c>
      <c r="B8" s="10" t="n">
        <v>47759</v>
      </c>
      <c r="C8" t="inlineStr">
        <is>
          <t>05:55 PM</t>
        </is>
      </c>
      <c r="D8" t="inlineStr">
        <is>
          <t>Silvershard Mines</t>
        </is>
      </c>
      <c r="E8" t="inlineStr">
        <is>
          <t>Carts</t>
        </is>
      </c>
      <c r="F8" s="11" t="n">
        <v>0.004861111111111111</v>
      </c>
      <c r="G8" t="inlineStr">
        <is>
          <t>W</t>
        </is>
      </c>
      <c r="I8" t="n">
        <v>1517</v>
      </c>
      <c r="J8" t="n">
        <v>358</v>
      </c>
      <c r="K8" t="n">
        <v>7</v>
      </c>
      <c r="L8" t="n">
        <v>10</v>
      </c>
      <c r="M8" t="n">
        <v>0</v>
      </c>
      <c r="N8" s="5" t="n">
        <v>7.843027</v>
      </c>
      <c r="O8" s="5" t="n">
        <v>98.265767</v>
      </c>
      <c r="P8" s="5">
        <f>IF(OR(F8="",F8=0),"",O8/(F8*1440))</f>
        <v/>
      </c>
      <c r="Q8" s="3" t="n">
        <v>571</v>
      </c>
      <c r="S8" t="inlineStr">
        <is>
          <t>Healer</t>
        </is>
      </c>
      <c r="T8" t="inlineStr">
        <is>
          <t>1st overall</t>
        </is>
      </c>
      <c r="U8" s="5" t="n">
        <v>33</v>
      </c>
      <c r="V8" s="6">
        <f>IF(U8="","",O8/U8)</f>
        <v/>
      </c>
      <c r="Y8" t="n">
        <v>20</v>
      </c>
      <c r="Z8" t="inlineStr">
        <is>
          <t>REFlex + scoreboard</t>
        </is>
      </c>
      <c r="AA8" t="inlineStr">
        <is>
          <t>Synthetic example</t>
        </is>
      </c>
      <c r="AH8" t="inlineStr">
        <is>
          <t>Yes</t>
        </is>
      </c>
      <c r="AI8" t="inlineStr">
        <is>
          <t>2 of 3 (raid frames + visible roster)</t>
        </is>
      </c>
    </row>
    <row r="9">
      <c r="A9" t="n">
        <v>5</v>
      </c>
      <c r="B9" s="10" t="n">
        <v>47759</v>
      </c>
      <c r="C9" t="inlineStr">
        <is>
          <t>06:12 PM</t>
        </is>
      </c>
      <c r="D9" t="inlineStr">
        <is>
          <t>Warsong Gulch</t>
        </is>
      </c>
      <c r="E9" t="inlineStr">
        <is>
          <t>Flag</t>
        </is>
      </c>
      <c r="F9" s="11" t="n">
        <v>0.005358796296296296</v>
      </c>
      <c r="G9" t="inlineStr">
        <is>
          <t>W</t>
        </is>
      </c>
      <c r="I9" t="n">
        <v>20</v>
      </c>
      <c r="J9" t="n">
        <v>0</v>
      </c>
      <c r="K9" t="n">
        <v>4</v>
      </c>
      <c r="L9" t="n">
        <v>0</v>
      </c>
      <c r="M9" t="n">
        <v>0</v>
      </c>
      <c r="N9" s="5" t="n">
        <v>6.664827</v>
      </c>
      <c r="O9" s="5" t="n">
        <v>45.383767</v>
      </c>
      <c r="P9" s="5">
        <f>IF(OR(F9="",F9=0),"",O9/(F9*1440))</f>
        <v/>
      </c>
      <c r="Q9" s="3" t="n">
        <v>699</v>
      </c>
      <c r="S9" t="inlineStr">
        <is>
          <t>Healer / FC escort</t>
        </is>
      </c>
      <c r="T9" t="inlineStr">
        <is>
          <t>4th of 20</t>
        </is>
      </c>
      <c r="U9" s="5" t="n">
        <v>39</v>
      </c>
      <c r="V9" s="6">
        <f>IF(U9="","",O9/U9)</f>
        <v/>
      </c>
      <c r="X9" t="n">
        <v>0</v>
      </c>
      <c r="Z9" t="inlineStr">
        <is>
          <t>REFlex + scoreboard</t>
        </is>
      </c>
      <c r="AA9" t="inlineStr">
        <is>
          <t>Synthetic example</t>
        </is>
      </c>
      <c r="AH9" t="inlineStr">
        <is>
          <t>Yes</t>
        </is>
      </c>
      <c r="AI9" t="inlineStr">
        <is>
          <t>2 of 4 (raid frames)</t>
        </is>
      </c>
    </row>
    <row r="10">
      <c r="A10" t="n">
        <v>6</v>
      </c>
      <c r="B10" s="10" t="n">
        <v>47759</v>
      </c>
      <c r="C10" t="inlineStr">
        <is>
          <t>06:25 PM</t>
        </is>
      </c>
      <c r="D10" t="inlineStr">
        <is>
          <t>Deephaul Ravine</t>
        </is>
      </c>
      <c r="E10" t="inlineStr">
        <is>
          <t>Carts</t>
        </is>
      </c>
      <c r="F10" s="11" t="n">
        <v>0.004560185185185185</v>
      </c>
      <c r="G10" t="inlineStr">
        <is>
          <t>W</t>
        </is>
      </c>
      <c r="I10" t="n">
        <v>1517</v>
      </c>
      <c r="J10" t="n">
        <v>489</v>
      </c>
      <c r="K10" t="n">
        <v>0</v>
      </c>
      <c r="L10" t="n">
        <v>4</v>
      </c>
      <c r="M10" t="n">
        <v>0</v>
      </c>
      <c r="N10" s="5" t="n">
        <v>8.254027000000001</v>
      </c>
      <c r="O10" s="5" t="n">
        <v>70.125967</v>
      </c>
      <c r="P10" s="5">
        <f>IF(OR(F10="",F10=0),"",O10/(F10*1440))</f>
        <v/>
      </c>
      <c r="Q10" s="3" t="n">
        <v>533</v>
      </c>
      <c r="S10" t="inlineStr">
        <is>
          <t>Healer</t>
        </is>
      </c>
      <c r="U10" s="5" t="n">
        <v>43</v>
      </c>
      <c r="V10" s="6">
        <f>IF(U10="","",O10/U10)</f>
        <v/>
      </c>
      <c r="Z10" t="inlineStr">
        <is>
          <t>REFlex + scoreboard</t>
        </is>
      </c>
      <c r="AA10" t="inlineStr">
        <is>
          <t>Synthetic example</t>
        </is>
      </c>
      <c r="AH10" t="inlineStr">
        <is>
          <t>Yes</t>
        </is>
      </c>
      <c r="AI10" t="inlineStr">
        <is>
          <t>2 of 3 (raid frames + visible roster)</t>
        </is>
      </c>
    </row>
    <row r="11">
      <c r="A11" t="n">
        <v>7</v>
      </c>
      <c r="B11" s="10" t="n">
        <v>47759</v>
      </c>
      <c r="C11" t="inlineStr">
        <is>
          <t>06:45 PM</t>
        </is>
      </c>
      <c r="D11" t="inlineStr">
        <is>
          <t>Arathi Basin</t>
        </is>
      </c>
      <c r="E11" t="inlineStr">
        <is>
          <t>Bases</t>
        </is>
      </c>
      <c r="F11" s="11" t="n">
        <v>0.00730324074074074</v>
      </c>
      <c r="G11" t="inlineStr">
        <is>
          <t>W</t>
        </is>
      </c>
      <c r="K11" t="n">
        <v>0</v>
      </c>
      <c r="L11" t="n">
        <v>8</v>
      </c>
      <c r="N11" s="5" t="n">
        <v>4.856427</v>
      </c>
      <c r="O11" s="5" t="n">
        <v>53.411967</v>
      </c>
      <c r="P11" s="5">
        <f>IF(OR(F11="",F11=0),"",O11/(F11*1440))</f>
        <v/>
      </c>
      <c r="Q11" s="3" t="n">
        <v>672</v>
      </c>
      <c r="V11" s="6">
        <f>IF(U11="","",O11/U11)</f>
        <v/>
      </c>
      <c r="Z11" t="inlineStr">
        <is>
          <t>REFlex</t>
        </is>
      </c>
    </row>
    <row r="12">
      <c r="A12" t="n">
        <v>8</v>
      </c>
      <c r="B12" s="10" t="n">
        <v>47759</v>
      </c>
      <c r="C12" t="inlineStr">
        <is>
          <t>06:58 PM</t>
        </is>
      </c>
      <c r="D12" t="inlineStr">
        <is>
          <t>Eye of the Storm</t>
        </is>
      </c>
      <c r="E12" t="inlineStr">
        <is>
          <t>Flag + Bases</t>
        </is>
      </c>
      <c r="F12" s="11" t="n">
        <v>0.003483796296296296</v>
      </c>
      <c r="G12" t="inlineStr">
        <is>
          <t>W</t>
        </is>
      </c>
      <c r="K12" t="n">
        <v>0</v>
      </c>
      <c r="L12" t="n">
        <v>2</v>
      </c>
      <c r="N12" s="5" t="n">
        <v>0.6176469999999999</v>
      </c>
      <c r="O12" s="5" t="n">
        <v>9.188367</v>
      </c>
      <c r="P12" s="5">
        <f>IF(OR(F12="",F12=0),"",O12/(F12*1440))</f>
        <v/>
      </c>
      <c r="Q12" s="3" t="n">
        <v>623</v>
      </c>
      <c r="V12" s="6">
        <f>IF(U12="","",O12/U12)</f>
        <v/>
      </c>
      <c r="Z12" t="inlineStr">
        <is>
          <t>REFlex</t>
        </is>
      </c>
    </row>
    <row r="13">
      <c r="A13" t="n">
        <v>9</v>
      </c>
      <c r="B13" s="10" t="n">
        <v>47759</v>
      </c>
      <c r="C13" t="inlineStr">
        <is>
          <t>07:10 PM</t>
        </is>
      </c>
      <c r="D13" t="inlineStr">
        <is>
          <t>Temple of Kotmogu</t>
        </is>
      </c>
      <c r="E13" t="inlineStr">
        <is>
          <t>Orbs</t>
        </is>
      </c>
      <c r="F13" s="11" t="n">
        <v>0.004629629629629629</v>
      </c>
      <c r="G13" t="inlineStr">
        <is>
          <t>W</t>
        </is>
      </c>
      <c r="K13" t="n">
        <v>0</v>
      </c>
      <c r="L13" t="n">
        <v>1</v>
      </c>
      <c r="N13" s="5" t="n">
        <v>1.924627</v>
      </c>
      <c r="O13" s="5" t="n">
        <v>58.261767</v>
      </c>
      <c r="P13" s="5">
        <f>IF(OR(F13="",F13=0),"",O13/(F13*1440))</f>
        <v/>
      </c>
      <c r="Q13" s="3" t="n">
        <v>580</v>
      </c>
      <c r="V13" s="6">
        <f>IF(U13="","",O13/U13)</f>
        <v/>
      </c>
      <c r="Z13" t="inlineStr">
        <is>
          <t>REFlex</t>
        </is>
      </c>
    </row>
    <row r="14">
      <c r="A14" t="n">
        <v>10</v>
      </c>
      <c r="B14" s="10" t="n">
        <v>47759</v>
      </c>
      <c r="C14" t="inlineStr">
        <is>
          <t>07:29 PM</t>
        </is>
      </c>
      <c r="D14" t="inlineStr">
        <is>
          <t>Temple of Kotmogu</t>
        </is>
      </c>
      <c r="E14" t="inlineStr">
        <is>
          <t>Orbs</t>
        </is>
      </c>
      <c r="F14" s="11" t="n">
        <v>0.007060185185185185</v>
      </c>
      <c r="G14" t="inlineStr">
        <is>
          <t>L</t>
        </is>
      </c>
      <c r="K14" t="n">
        <v>0</v>
      </c>
      <c r="L14" t="n">
        <v>10</v>
      </c>
      <c r="N14" s="5" t="n">
        <v>17.378227</v>
      </c>
      <c r="O14" s="5" t="n">
        <v>127.693367</v>
      </c>
      <c r="P14" s="5">
        <f>IF(OR(F14="",F14=0),"",O14/(F14*1440))</f>
        <v/>
      </c>
      <c r="Q14" s="3" t="n">
        <v>337</v>
      </c>
      <c r="V14" s="6">
        <f>IF(U14="","",O14/U14)</f>
        <v/>
      </c>
      <c r="Z14" t="inlineStr">
        <is>
          <t>REFlex</t>
        </is>
      </c>
    </row>
    <row r="15">
      <c r="A15" t="n">
        <v>11</v>
      </c>
      <c r="B15" s="10" t="n">
        <v>47759</v>
      </c>
      <c r="C15" t="inlineStr">
        <is>
          <t>07:53 PM</t>
        </is>
      </c>
      <c r="D15" t="inlineStr">
        <is>
          <t>Silvershard Mines</t>
        </is>
      </c>
      <c r="E15" t="inlineStr">
        <is>
          <t>Carts</t>
        </is>
      </c>
      <c r="F15" s="11" t="n">
        <v>0.005613425925925926</v>
      </c>
      <c r="G15" t="inlineStr">
        <is>
          <t>W</t>
        </is>
      </c>
      <c r="K15" t="n">
        <v>0</v>
      </c>
      <c r="L15" t="n">
        <v>3</v>
      </c>
      <c r="N15" s="5" t="n">
        <v>3.513827</v>
      </c>
      <c r="O15" s="5" t="n">
        <v>40.259967</v>
      </c>
      <c r="P15" s="5">
        <f>IF(OR(F15="",F15=0),"",O15/(F15*1440))</f>
        <v/>
      </c>
      <c r="Q15" s="3" t="n">
        <v>579</v>
      </c>
      <c r="V15" s="6">
        <f>IF(U15="","",O15/U15)</f>
        <v/>
      </c>
      <c r="Z15" t="inlineStr">
        <is>
          <t>REFlex</t>
        </is>
      </c>
    </row>
    <row r="16">
      <c r="A16" t="n">
        <v>12</v>
      </c>
      <c r="B16" s="10" t="n">
        <v>47759</v>
      </c>
      <c r="C16" t="inlineStr">
        <is>
          <t>08:09 PM</t>
        </is>
      </c>
      <c r="D16" t="inlineStr">
        <is>
          <t>Eye of the Storm</t>
        </is>
      </c>
      <c r="E16" t="inlineStr">
        <is>
          <t>Flag + Bases</t>
        </is>
      </c>
      <c r="F16" s="11" t="n">
        <v>0.005567129629629629</v>
      </c>
      <c r="G16" t="inlineStr">
        <is>
          <t>W</t>
        </is>
      </c>
      <c r="K16" t="n">
        <v>4</v>
      </c>
      <c r="L16" t="n">
        <v>0</v>
      </c>
      <c r="N16" s="5" t="n">
        <v>5.240027</v>
      </c>
      <c r="O16" s="5" t="n">
        <v>67.41336699999999</v>
      </c>
      <c r="P16" s="5">
        <f>IF(OR(F16="",F16=0),"",O16/(F16*1440))</f>
        <v/>
      </c>
      <c r="Q16" s="3" t="n">
        <v>808</v>
      </c>
      <c r="V16" s="6">
        <f>IF(U16="","",O16/U16)</f>
        <v/>
      </c>
      <c r="Z16" t="inlineStr">
        <is>
          <t>REFlex</t>
        </is>
      </c>
    </row>
    <row r="17">
      <c r="A17" t="n">
        <v>13</v>
      </c>
      <c r="B17" s="10" t="n">
        <v>47759</v>
      </c>
      <c r="C17" t="inlineStr">
        <is>
          <t>08:28 PM</t>
        </is>
      </c>
      <c r="D17" t="inlineStr">
        <is>
          <t>Temple of Kotmogu</t>
        </is>
      </c>
      <c r="E17" t="inlineStr">
        <is>
          <t>Orbs</t>
        </is>
      </c>
      <c r="F17" s="11" t="n">
        <v>0.004965277777777778</v>
      </c>
      <c r="G17" t="inlineStr">
        <is>
          <t>L</t>
        </is>
      </c>
      <c r="K17" t="n">
        <v>0</v>
      </c>
      <c r="L17" t="n">
        <v>1</v>
      </c>
      <c r="N17" s="5" t="n">
        <v>13.323027</v>
      </c>
      <c r="O17" s="5" t="n">
        <v>71.93436699999999</v>
      </c>
      <c r="P17" s="5">
        <f>IF(OR(F17="",F17=0),"",O17/(F17*1440))</f>
        <v/>
      </c>
      <c r="Q17" s="3" t="n">
        <v>256</v>
      </c>
      <c r="V17" s="6">
        <f>IF(U17="","",O17/U17)</f>
        <v/>
      </c>
      <c r="Z17" t="inlineStr">
        <is>
          <t>REFlex</t>
        </is>
      </c>
    </row>
    <row r="18">
      <c r="A18" t="n">
        <v>14</v>
      </c>
      <c r="B18" s="10" t="n">
        <v>47760</v>
      </c>
      <c r="C18" t="inlineStr">
        <is>
          <t>10:28 AM</t>
        </is>
      </c>
      <c r="D18" t="inlineStr">
        <is>
          <t>Eye of the Storm</t>
        </is>
      </c>
      <c r="E18" t="inlineStr">
        <is>
          <t>Flag + Bases</t>
        </is>
      </c>
      <c r="F18" s="11" t="n">
        <v>0.005462962962962963</v>
      </c>
      <c r="G18" t="inlineStr">
        <is>
          <t>W</t>
        </is>
      </c>
      <c r="K18" t="n">
        <v>4</v>
      </c>
      <c r="L18" t="n">
        <v>10</v>
      </c>
      <c r="N18" s="5" t="n">
        <v>5.020827</v>
      </c>
      <c r="O18" s="5" t="n">
        <v>44.095967</v>
      </c>
      <c r="P18" s="5">
        <f>IF(OR(F18="",F18=0),"",O18/(F18*1440))</f>
        <v/>
      </c>
      <c r="Q18" s="3" t="n">
        <v>870</v>
      </c>
      <c r="V18" s="6">
        <f>IF(U18="","",O18/U18)</f>
        <v/>
      </c>
      <c r="Z18" t="inlineStr">
        <is>
          <t>REFlex</t>
        </is>
      </c>
    </row>
    <row r="19">
      <c r="A19" t="n">
        <v>15</v>
      </c>
      <c r="B19" s="10" t="n">
        <v>47760</v>
      </c>
      <c r="C19" t="inlineStr">
        <is>
          <t>10:39 AM</t>
        </is>
      </c>
      <c r="D19" t="inlineStr">
        <is>
          <t>Temple of Kotmogu</t>
        </is>
      </c>
      <c r="E19" t="inlineStr">
        <is>
          <t>Orbs</t>
        </is>
      </c>
      <c r="F19" s="11" t="n">
        <v>0.004791666666666666</v>
      </c>
      <c r="G19" t="inlineStr">
        <is>
          <t>L</t>
        </is>
      </c>
      <c r="K19" t="n">
        <v>0</v>
      </c>
      <c r="L19" t="n">
        <v>0</v>
      </c>
      <c r="N19" s="5" t="n">
        <v>2.135607</v>
      </c>
      <c r="O19" s="5" t="n">
        <v>42.917767</v>
      </c>
      <c r="P19" s="5">
        <f>IF(OR(F19="",F19=0),"",O19/(F19*1440))</f>
        <v/>
      </c>
      <c r="Q19" s="3" t="n">
        <v>249</v>
      </c>
      <c r="V19" s="6">
        <f>IF(U19="","",O19/U19)</f>
        <v/>
      </c>
      <c r="Z19" t="inlineStr">
        <is>
          <t>REFlex</t>
        </is>
      </c>
      <c r="AA19" t="inlineStr">
        <is>
          <t>Synthetic example</t>
        </is>
      </c>
    </row>
    <row r="20">
      <c r="A20" t="n">
        <v>16</v>
      </c>
      <c r="B20" s="10" t="n">
        <v>47760</v>
      </c>
      <c r="C20" t="inlineStr">
        <is>
          <t>10:56 AM</t>
        </is>
      </c>
      <c r="D20" t="inlineStr">
        <is>
          <t>Warsong Gulch</t>
        </is>
      </c>
      <c r="E20" t="inlineStr">
        <is>
          <t>Flag</t>
        </is>
      </c>
      <c r="F20" s="11" t="n">
        <v>0.01041666666666667</v>
      </c>
      <c r="G20" t="inlineStr">
        <is>
          <t>L</t>
        </is>
      </c>
      <c r="K20" t="n">
        <v>0</v>
      </c>
      <c r="L20" t="n">
        <v>1</v>
      </c>
      <c r="N20" s="5" t="n">
        <v>19.049627</v>
      </c>
      <c r="O20" s="5" t="n">
        <v>147.640567</v>
      </c>
      <c r="P20" s="5">
        <f>IF(OR(F20="",F20=0),"",O20/(F20*1440))</f>
        <v/>
      </c>
      <c r="Q20" s="3" t="n">
        <v>402</v>
      </c>
      <c r="V20" s="6">
        <f>IF(U20="","",O20/U20)</f>
        <v/>
      </c>
      <c r="Z20" t="inlineStr">
        <is>
          <t>REFlex</t>
        </is>
      </c>
    </row>
    <row r="21">
      <c r="A21" t="n">
        <v>17</v>
      </c>
      <c r="B21" s="10" t="n">
        <v>47760</v>
      </c>
      <c r="C21" t="inlineStr">
        <is>
          <t>11:35 AM</t>
        </is>
      </c>
      <c r="D21" t="inlineStr">
        <is>
          <t>Deepwind Gorge</t>
        </is>
      </c>
      <c r="E21" t="inlineStr">
        <is>
          <t>Bases</t>
        </is>
      </c>
      <c r="F21" s="11" t="n">
        <v>0.01175925925925926</v>
      </c>
      <c r="G21" t="inlineStr">
        <is>
          <t>W</t>
        </is>
      </c>
      <c r="K21" t="n">
        <v>4</v>
      </c>
      <c r="L21" t="n">
        <v>6</v>
      </c>
      <c r="N21" s="5" t="n">
        <v>7.130627</v>
      </c>
      <c r="O21" s="5" t="n">
        <v>110.239567</v>
      </c>
      <c r="P21" s="5">
        <f>IF(OR(F21="",F21=0),"",O21/(F21*1440))</f>
        <v/>
      </c>
      <c r="Q21" s="3" t="n">
        <v>629</v>
      </c>
      <c r="V21" s="6">
        <f>IF(U21="","",O21/U21)</f>
        <v/>
      </c>
      <c r="Z21" t="inlineStr">
        <is>
          <t>REFlex</t>
        </is>
      </c>
    </row>
    <row r="22">
      <c r="A22" t="n">
        <v>18</v>
      </c>
      <c r="B22" s="10" t="n">
        <v>47760</v>
      </c>
      <c r="C22" t="inlineStr">
        <is>
          <t>11:48 AM</t>
        </is>
      </c>
      <c r="D22" t="inlineStr">
        <is>
          <t>Temple of Kotmogu</t>
        </is>
      </c>
      <c r="E22" t="inlineStr">
        <is>
          <t>Orbs</t>
        </is>
      </c>
      <c r="F22" s="11" t="n">
        <v>0.003981481481481482</v>
      </c>
      <c r="G22" t="inlineStr">
        <is>
          <t>L</t>
        </is>
      </c>
      <c r="K22" t="n">
        <v>0</v>
      </c>
      <c r="L22" t="n">
        <v>8</v>
      </c>
      <c r="N22" s="5" t="n">
        <v>5.568827</v>
      </c>
      <c r="O22" s="5" t="n">
        <v>41.383367</v>
      </c>
      <c r="P22" s="5">
        <f>IF(OR(F22="",F22=0),"",O22/(F22*1440))</f>
        <v/>
      </c>
      <c r="Q22" s="3" t="n">
        <v>189</v>
      </c>
      <c r="V22" s="6">
        <f>IF(U22="","",O22/U22)</f>
        <v/>
      </c>
      <c r="Z22" t="inlineStr">
        <is>
          <t>REFlex</t>
        </is>
      </c>
    </row>
    <row r="23">
      <c r="A23" t="n">
        <v>19</v>
      </c>
      <c r="B23" s="10" t="n">
        <v>47760</v>
      </c>
      <c r="C23" t="inlineStr">
        <is>
          <t>12:11 PM</t>
        </is>
      </c>
      <c r="D23" t="inlineStr">
        <is>
          <t>Arathi Basin</t>
        </is>
      </c>
      <c r="E23" t="inlineStr">
        <is>
          <t>Bases</t>
        </is>
      </c>
      <c r="F23" s="11" t="n">
        <v>0.009189814814814816</v>
      </c>
      <c r="G23" t="inlineStr">
        <is>
          <t>L</t>
        </is>
      </c>
      <c r="K23" t="n">
        <v>0</v>
      </c>
      <c r="L23" t="n">
        <v>7</v>
      </c>
      <c r="N23" s="5" t="n">
        <v>9.980226999999999</v>
      </c>
      <c r="O23" s="5" t="n">
        <v>96.84096700000001</v>
      </c>
      <c r="P23" s="5">
        <f>IF(OR(F23="",F23=0),"",O23/(F23*1440))</f>
        <v/>
      </c>
      <c r="Q23" s="3" t="n">
        <v>418</v>
      </c>
      <c r="V23" s="6">
        <f>IF(U23="","",O23/U23)</f>
        <v/>
      </c>
      <c r="Z23" t="inlineStr">
        <is>
          <t>REFlex</t>
        </is>
      </c>
    </row>
    <row r="24">
      <c r="A24" t="n">
        <v>20</v>
      </c>
      <c r="B24" s="10" t="n">
        <v>47760</v>
      </c>
      <c r="C24" t="inlineStr">
        <is>
          <t>12:48 PM</t>
        </is>
      </c>
      <c r="D24" t="inlineStr">
        <is>
          <t>Twin Peaks</t>
        </is>
      </c>
      <c r="E24" t="inlineStr">
        <is>
          <t>Flag</t>
        </is>
      </c>
      <c r="F24" s="11" t="n">
        <v>0.0103587962962963</v>
      </c>
      <c r="G24" t="inlineStr">
        <is>
          <t>L</t>
        </is>
      </c>
      <c r="K24" t="n">
        <v>0</v>
      </c>
      <c r="L24" t="n">
        <v>7</v>
      </c>
      <c r="N24" s="5" t="n">
        <v>4.034427</v>
      </c>
      <c r="O24" s="5" t="n">
        <v>57.713767</v>
      </c>
      <c r="P24" s="5">
        <f>IF(OR(F24="",F24=0),"",O24/(F24*1440))</f>
        <v/>
      </c>
      <c r="Q24" s="3" t="n">
        <v>433</v>
      </c>
      <c r="V24" s="6">
        <f>IF(U24="","",O24/U24)</f>
        <v/>
      </c>
      <c r="Z24" t="inlineStr">
        <is>
          <t>REFlex</t>
        </is>
      </c>
    </row>
    <row r="25">
      <c r="A25" t="n">
        <v>21</v>
      </c>
      <c r="B25" s="10" t="n">
        <v>47762</v>
      </c>
      <c r="C25" t="inlineStr">
        <is>
          <t>05:22 PM</t>
        </is>
      </c>
      <c r="D25" t="inlineStr">
        <is>
          <t>Arathi Basin</t>
        </is>
      </c>
      <c r="E25" t="inlineStr">
        <is>
          <t>Bases</t>
        </is>
      </c>
      <c r="F25" s="11" t="n">
        <v>0.0108912037037037</v>
      </c>
      <c r="G25" t="inlineStr">
        <is>
          <t>W</t>
        </is>
      </c>
      <c r="K25" t="n">
        <v>0</v>
      </c>
      <c r="L25" t="n">
        <v>2</v>
      </c>
      <c r="N25" s="5" t="n">
        <v>16.556227</v>
      </c>
      <c r="O25" s="5" t="n">
        <v>91.771967</v>
      </c>
      <c r="P25" s="5">
        <f>IF(OR(F25="",F25=0),"",O25/(F25*1440))</f>
        <v/>
      </c>
      <c r="Q25" s="3" t="n">
        <v>947</v>
      </c>
      <c r="V25" s="6">
        <f>IF(U25="","",O25/U25)</f>
        <v/>
      </c>
      <c r="Z25" t="inlineStr">
        <is>
          <t>REFlex</t>
        </is>
      </c>
      <c r="AA25" t="inlineStr">
        <is>
          <t>Synthetic example</t>
        </is>
      </c>
    </row>
    <row r="26">
      <c r="A26" t="n">
        <v>22</v>
      </c>
      <c r="B26" s="10" t="n">
        <v>47762</v>
      </c>
      <c r="C26" t="inlineStr">
        <is>
          <t>05:47 PM</t>
        </is>
      </c>
      <c r="D26" t="inlineStr">
        <is>
          <t>Arathi Basin</t>
        </is>
      </c>
      <c r="E26" t="inlineStr">
        <is>
          <t>Bases</t>
        </is>
      </c>
      <c r="F26" s="11" t="n">
        <v>0.008553240740740741</v>
      </c>
      <c r="G26" t="inlineStr">
        <is>
          <t>L</t>
        </is>
      </c>
      <c r="K26" t="n">
        <v>0</v>
      </c>
      <c r="L26" t="n">
        <v>4</v>
      </c>
      <c r="N26" s="5" t="n">
        <v>6.856627</v>
      </c>
      <c r="O26" s="5" t="n">
        <v>36.560967</v>
      </c>
      <c r="P26" s="5">
        <f>IF(OR(F26="",F26=0),"",O26/(F26*1440))</f>
        <v/>
      </c>
      <c r="Q26" s="3" t="n">
        <v>430</v>
      </c>
      <c r="V26" s="6">
        <f>IF(U26="","",O26/U26)</f>
        <v/>
      </c>
      <c r="Z26" t="inlineStr">
        <is>
          <t>REFlex</t>
        </is>
      </c>
      <c r="AA26" t="inlineStr">
        <is>
          <t>Synthetic example</t>
        </is>
      </c>
    </row>
    <row r="27">
      <c r="A27" t="n">
        <v>23</v>
      </c>
      <c r="B27" s="10" t="n">
        <v>47762</v>
      </c>
      <c r="C27" t="inlineStr">
        <is>
          <t>06:12 PM</t>
        </is>
      </c>
      <c r="D27" t="inlineStr">
        <is>
          <t>Arathi Basin</t>
        </is>
      </c>
      <c r="E27" t="inlineStr">
        <is>
          <t>Bases</t>
        </is>
      </c>
      <c r="F27" s="11" t="n">
        <v>0.01172453703703704</v>
      </c>
      <c r="G27" t="inlineStr">
        <is>
          <t>L</t>
        </is>
      </c>
      <c r="K27" t="n">
        <v>0</v>
      </c>
      <c r="L27" t="n">
        <v>5</v>
      </c>
      <c r="N27" s="5" t="n">
        <v>13.377827</v>
      </c>
      <c r="O27" s="5" t="n">
        <v>122.185967</v>
      </c>
      <c r="P27" s="5">
        <f>IF(OR(F27="",F27=0),"",O27/(F27*1440))</f>
        <v/>
      </c>
      <c r="Q27" s="3" t="n">
        <v>561</v>
      </c>
      <c r="V27" s="6">
        <f>IF(U27="","",O27/U27)</f>
        <v/>
      </c>
      <c r="Z27" t="inlineStr">
        <is>
          <t>REFlex</t>
        </is>
      </c>
      <c r="AA27" t="inlineStr">
        <is>
          <t>Synthetic example</t>
        </is>
      </c>
    </row>
    <row r="28">
      <c r="A28" t="n">
        <v>24</v>
      </c>
      <c r="B28" s="10" t="n">
        <v>47762</v>
      </c>
      <c r="C28" t="inlineStr">
        <is>
          <t>06:17 PM</t>
        </is>
      </c>
      <c r="D28" t="inlineStr">
        <is>
          <t>The Battle for Gilneas</t>
        </is>
      </c>
      <c r="E28" t="inlineStr">
        <is>
          <t>Bases</t>
        </is>
      </c>
      <c r="F28" s="11" t="n">
        <v>0.001793981481481481</v>
      </c>
      <c r="G28" t="inlineStr">
        <is>
          <t>W</t>
        </is>
      </c>
      <c r="K28" t="n">
        <v>0</v>
      </c>
      <c r="L28" t="n">
        <v>2</v>
      </c>
      <c r="N28" s="5" t="n">
        <v>3.157627</v>
      </c>
      <c r="O28" s="5" t="n">
        <v>24.888567</v>
      </c>
      <c r="P28" s="5">
        <f>IF(OR(F28="",F28=0),"",O28/(F28*1440))</f>
        <v/>
      </c>
      <c r="Q28" s="3" t="n">
        <v>843</v>
      </c>
      <c r="V28" s="6">
        <f>IF(U28="","",O28/U28)</f>
        <v/>
      </c>
      <c r="Z28" t="inlineStr">
        <is>
          <t>REFlex</t>
        </is>
      </c>
    </row>
    <row r="29">
      <c r="A29" t="n">
        <v>25</v>
      </c>
      <c r="B29" s="10" t="n">
        <v>47762</v>
      </c>
      <c r="C29" t="inlineStr">
        <is>
          <t>06:30 PM</t>
        </is>
      </c>
      <c r="D29" t="inlineStr">
        <is>
          <t>Deephaul Ravine</t>
        </is>
      </c>
      <c r="E29" t="inlineStr">
        <is>
          <t>Carts</t>
        </is>
      </c>
      <c r="F29" s="11" t="n">
        <v>0.00431712962962963</v>
      </c>
      <c r="G29" t="inlineStr">
        <is>
          <t>W</t>
        </is>
      </c>
      <c r="K29" t="n">
        <v>4</v>
      </c>
      <c r="L29" t="n">
        <v>4</v>
      </c>
      <c r="N29" s="5" t="n">
        <v>2.119167</v>
      </c>
      <c r="O29" s="5" t="n">
        <v>52.096767</v>
      </c>
      <c r="P29" s="5">
        <f>IF(OR(F29="",F29=0),"",O29/(F29*1440))</f>
        <v/>
      </c>
      <c r="Q29" s="3" t="n">
        <v>515</v>
      </c>
      <c r="V29" s="6">
        <f>IF(U29="","",O29/U29)</f>
        <v/>
      </c>
      <c r="Z29" t="inlineStr">
        <is>
          <t>REFlex</t>
        </is>
      </c>
    </row>
    <row r="30">
      <c r="A30" t="n">
        <v>26</v>
      </c>
      <c r="B30" s="10" t="n">
        <v>47763</v>
      </c>
      <c r="C30" t="inlineStr">
        <is>
          <t>06:11 PM</t>
        </is>
      </c>
      <c r="D30" t="inlineStr">
        <is>
          <t>Temple of Kotmogu</t>
        </is>
      </c>
      <c r="E30" t="inlineStr">
        <is>
          <t>Orbs</t>
        </is>
      </c>
      <c r="F30" s="11" t="n">
        <v>0.006180555555555555</v>
      </c>
      <c r="G30" t="inlineStr">
        <is>
          <t>W</t>
        </is>
      </c>
      <c r="K30" t="n">
        <v>4</v>
      </c>
      <c r="L30" t="n">
        <v>7</v>
      </c>
      <c r="N30" s="5" t="n">
        <v>8.473227</v>
      </c>
      <c r="O30" s="5" t="n">
        <v>93.799567</v>
      </c>
      <c r="P30" s="5">
        <f>IF(OR(F30="",F30=0),"",O30/(F30*1440))</f>
        <v/>
      </c>
      <c r="Q30" s="3" t="n">
        <v>856</v>
      </c>
      <c r="V30" s="6">
        <f>IF(U30="","",O30/U30)</f>
        <v/>
      </c>
      <c r="Z30" t="inlineStr">
        <is>
          <t>REFlex</t>
        </is>
      </c>
    </row>
    <row r="31">
      <c r="A31" t="n">
        <v>27</v>
      </c>
      <c r="B31" s="10" t="n">
        <v>47763</v>
      </c>
      <c r="C31" t="inlineStr">
        <is>
          <t>06:29 PM</t>
        </is>
      </c>
      <c r="D31" t="inlineStr">
        <is>
          <t>Arathi Basin</t>
        </is>
      </c>
      <c r="E31" t="inlineStr">
        <is>
          <t>Bases</t>
        </is>
      </c>
      <c r="F31" s="11" t="n">
        <v>0.01001157407407407</v>
      </c>
      <c r="G31" t="inlineStr">
        <is>
          <t>L</t>
        </is>
      </c>
      <c r="K31" t="n">
        <v>0</v>
      </c>
      <c r="L31" t="n">
        <v>9</v>
      </c>
      <c r="N31" s="5" t="n">
        <v>4.719427</v>
      </c>
      <c r="O31" s="5" t="n">
        <v>43.410967</v>
      </c>
      <c r="P31" s="5">
        <f>IF(OR(F31="",F31=0),"",O31/(F31*1440))</f>
        <v/>
      </c>
      <c r="Q31" s="3" t="n">
        <v>492</v>
      </c>
      <c r="V31" s="6">
        <f>IF(U31="","",O31/U31)</f>
        <v/>
      </c>
      <c r="Z31" t="inlineStr">
        <is>
          <t>REFlex</t>
        </is>
      </c>
      <c r="AA31" t="inlineStr">
        <is>
          <t>Synthetic example</t>
        </is>
      </c>
    </row>
    <row r="32">
      <c r="A32" t="n">
        <v>28</v>
      </c>
      <c r="B32" s="10" t="n">
        <v>47764</v>
      </c>
      <c r="C32" t="inlineStr">
        <is>
          <t>07:13 PM</t>
        </is>
      </c>
      <c r="D32" t="inlineStr">
        <is>
          <t>Warsong Gulch</t>
        </is>
      </c>
      <c r="E32" t="inlineStr">
        <is>
          <t>Flag</t>
        </is>
      </c>
      <c r="F32" s="11" t="n">
        <v>0.004224537037037037</v>
      </c>
      <c r="G32" t="inlineStr">
        <is>
          <t>W</t>
        </is>
      </c>
      <c r="K32" t="n">
        <v>4</v>
      </c>
      <c r="L32" t="n">
        <v>5</v>
      </c>
      <c r="N32" s="5" t="n">
        <v>4.308427</v>
      </c>
      <c r="O32" s="5" t="n">
        <v>20.970367</v>
      </c>
      <c r="P32" s="5">
        <f>IF(OR(F32="",F32=0),"",O32/(F32*1440))</f>
        <v/>
      </c>
      <c r="Q32" s="3" t="n">
        <v>940</v>
      </c>
      <c r="V32" s="6">
        <f>IF(U32="","",O32/U32)</f>
        <v/>
      </c>
      <c r="Z32" t="inlineStr">
        <is>
          <t>REFlex</t>
        </is>
      </c>
    </row>
    <row r="33">
      <c r="A33" t="n">
        <v>29</v>
      </c>
      <c r="B33" s="10" t="n">
        <v>47767</v>
      </c>
      <c r="C33" t="inlineStr">
        <is>
          <t>03:44 PM</t>
        </is>
      </c>
      <c r="D33" t="inlineStr">
        <is>
          <t>Temple of Kotmogu</t>
        </is>
      </c>
      <c r="E33" t="inlineStr">
        <is>
          <t>Orbs</t>
        </is>
      </c>
      <c r="F33" s="11" t="n">
        <v>0.002071759259259259</v>
      </c>
      <c r="G33" t="inlineStr">
        <is>
          <t>L</t>
        </is>
      </c>
      <c r="H33" t="inlineStr">
        <is>
          <t>Yes</t>
        </is>
      </c>
      <c r="K33" t="n">
        <v>0</v>
      </c>
      <c r="L33" t="n">
        <v>0</v>
      </c>
      <c r="N33" s="5" t="n">
        <v>0.214867</v>
      </c>
      <c r="O33" s="5" t="n">
        <v>23.134967</v>
      </c>
      <c r="P33" s="5">
        <f>IF(OR(F33="",F33=0),"",O33/(F33*1440))</f>
        <v/>
      </c>
      <c r="Q33" s="3" t="n">
        <v>122</v>
      </c>
      <c r="V33" s="6">
        <f>IF(U33="","",O33/U33)</f>
        <v/>
      </c>
      <c r="Z33" t="inlineStr">
        <is>
          <t>REFlex</t>
        </is>
      </c>
      <c r="AA33" t="inlineStr">
        <is>
          <t>Synthetic example</t>
        </is>
      </c>
    </row>
    <row r="34">
      <c r="A34" t="n">
        <v>30</v>
      </c>
      <c r="B34" s="10" t="n">
        <v>47767</v>
      </c>
      <c r="C34" t="inlineStr">
        <is>
          <t>05:08 PM</t>
        </is>
      </c>
      <c r="D34" t="inlineStr">
        <is>
          <t>Twin Peaks</t>
        </is>
      </c>
      <c r="E34" t="inlineStr">
        <is>
          <t>Flag</t>
        </is>
      </c>
      <c r="F34" s="11" t="n">
        <v>0.0100462962962963</v>
      </c>
      <c r="G34" t="inlineStr">
        <is>
          <t>L</t>
        </is>
      </c>
      <c r="K34" t="n">
        <v>0</v>
      </c>
      <c r="L34" t="n">
        <v>6</v>
      </c>
      <c r="N34" s="5" t="n">
        <v>0.409407</v>
      </c>
      <c r="O34" s="5" t="n">
        <v>95.306567</v>
      </c>
      <c r="P34" s="5">
        <f>IF(OR(F34="",F34=0),"",O34/(F34*1440))</f>
        <v/>
      </c>
      <c r="Q34" s="3" t="n">
        <v>419</v>
      </c>
      <c r="V34" s="6">
        <f>IF(U34="","",O34/U34)</f>
        <v/>
      </c>
      <c r="Z34" t="inlineStr">
        <is>
          <t>REFlex</t>
        </is>
      </c>
    </row>
    <row r="35">
      <c r="A35" t="n">
        <v>31</v>
      </c>
      <c r="B35" s="10" t="n">
        <v>47767</v>
      </c>
      <c r="C35" t="inlineStr">
        <is>
          <t>05:28 PM</t>
        </is>
      </c>
      <c r="D35" t="inlineStr">
        <is>
          <t>Silvershard Mines</t>
        </is>
      </c>
      <c r="E35" t="inlineStr">
        <is>
          <t>Carts</t>
        </is>
      </c>
      <c r="F35" s="11" t="n">
        <v>0.006018518518518519</v>
      </c>
      <c r="G35" t="inlineStr">
        <is>
          <t>W</t>
        </is>
      </c>
      <c r="K35" t="n">
        <v>0</v>
      </c>
      <c r="L35" t="n">
        <v>9</v>
      </c>
      <c r="N35" s="5" t="n">
        <v>2.050667</v>
      </c>
      <c r="O35" s="5" t="n">
        <v>28.614967</v>
      </c>
      <c r="P35" s="5">
        <f>IF(OR(F35="",F35=0),"",O35/(F35*1440))</f>
        <v/>
      </c>
      <c r="Q35" s="3" t="n">
        <v>771</v>
      </c>
      <c r="V35" s="6">
        <f>IF(U35="","",O35/U35)</f>
        <v/>
      </c>
      <c r="Z35" t="inlineStr">
        <is>
          <t>REFlex</t>
        </is>
      </c>
    </row>
    <row r="36">
      <c r="A36" t="n">
        <v>32</v>
      </c>
      <c r="B36" s="10" t="n">
        <v>47767</v>
      </c>
      <c r="C36" t="inlineStr">
        <is>
          <t>06:20 PM</t>
        </is>
      </c>
      <c r="D36" t="inlineStr">
        <is>
          <t>Arathi Basin</t>
        </is>
      </c>
      <c r="E36" t="inlineStr">
        <is>
          <t>Bases</t>
        </is>
      </c>
      <c r="F36" s="11" t="n">
        <v>0.01167824074074074</v>
      </c>
      <c r="G36" t="inlineStr">
        <is>
          <t>W</t>
        </is>
      </c>
      <c r="K36" t="n">
        <v>4</v>
      </c>
      <c r="L36" t="n">
        <v>2</v>
      </c>
      <c r="N36" s="5" t="n">
        <v>3.185027</v>
      </c>
      <c r="O36" s="5" t="n">
        <v>88.97716699999999</v>
      </c>
      <c r="P36" s="5">
        <f>IF(OR(F36="",F36=0),"",O36/(F36*1440))</f>
        <v/>
      </c>
      <c r="Q36" s="3" t="n">
        <v>715</v>
      </c>
      <c r="V36" s="6">
        <f>IF(U36="","",O36/U36)</f>
        <v/>
      </c>
      <c r="Z36" t="inlineStr">
        <is>
          <t>REFlex</t>
        </is>
      </c>
    </row>
    <row r="37">
      <c r="A37" t="n">
        <v>33</v>
      </c>
      <c r="B37" s="10" t="n">
        <v>47767</v>
      </c>
      <c r="C37" t="inlineStr">
        <is>
          <t>06:38 PM</t>
        </is>
      </c>
      <c r="D37" t="inlineStr">
        <is>
          <t>Eye of the Storm</t>
        </is>
      </c>
      <c r="E37" t="inlineStr">
        <is>
          <t>Flag + Bases</t>
        </is>
      </c>
      <c r="F37" s="11" t="n">
        <v>0.006759259259259259</v>
      </c>
      <c r="G37" t="inlineStr">
        <is>
          <t>W</t>
        </is>
      </c>
      <c r="K37" t="n">
        <v>0</v>
      </c>
      <c r="L37" t="n">
        <v>0</v>
      </c>
      <c r="N37" s="5" t="n">
        <v>1.151947</v>
      </c>
      <c r="O37" s="5" t="n">
        <v>9.215767</v>
      </c>
      <c r="P37" s="5">
        <f>IF(OR(F37="",F37=0),"",O37/(F37*1440))</f>
        <v/>
      </c>
      <c r="Q37" s="3" t="n">
        <v>788</v>
      </c>
      <c r="V37" s="6">
        <f>IF(U37="","",O37/U37)</f>
        <v/>
      </c>
      <c r="Z37" t="inlineStr">
        <is>
          <t>REFlex</t>
        </is>
      </c>
    </row>
    <row r="38">
      <c r="A38" t="n">
        <v>34</v>
      </c>
      <c r="B38" s="10" t="n">
        <v>47767</v>
      </c>
      <c r="C38" t="inlineStr">
        <is>
          <t>06:51 PM</t>
        </is>
      </c>
      <c r="D38" t="inlineStr">
        <is>
          <t>Deephaul Ravine</t>
        </is>
      </c>
      <c r="E38" t="inlineStr">
        <is>
          <t>Carts</t>
        </is>
      </c>
      <c r="F38" s="11" t="n">
        <v>0.005821759259259259</v>
      </c>
      <c r="G38" t="inlineStr">
        <is>
          <t>L</t>
        </is>
      </c>
      <c r="K38" t="n">
        <v>0</v>
      </c>
      <c r="L38" t="n">
        <v>5</v>
      </c>
      <c r="N38" s="5" t="n">
        <v>0.497087</v>
      </c>
      <c r="O38" s="5" t="n">
        <v>72.701567</v>
      </c>
      <c r="P38" s="5">
        <f>IF(OR(F38="",F38=0),"",O38/(F38*1440))</f>
        <v/>
      </c>
      <c r="Q38" s="3" t="n">
        <v>206</v>
      </c>
      <c r="V38" s="6">
        <f>IF(U38="","",O38/U38)</f>
        <v/>
      </c>
      <c r="Z38" t="inlineStr">
        <is>
          <t>REFlex</t>
        </is>
      </c>
    </row>
    <row r="39">
      <c r="A39" t="n">
        <v>35</v>
      </c>
      <c r="B39" s="10" t="n">
        <v>47770</v>
      </c>
      <c r="C39" t="inlineStr">
        <is>
          <t>04:56 PM</t>
        </is>
      </c>
      <c r="D39" t="inlineStr">
        <is>
          <t>Eye of the Storm</t>
        </is>
      </c>
      <c r="E39" t="inlineStr">
        <is>
          <t>Flag + Bases</t>
        </is>
      </c>
      <c r="F39" s="11" t="n">
        <v>0.008761574074074074</v>
      </c>
      <c r="G39" t="inlineStr">
        <is>
          <t>W</t>
        </is>
      </c>
      <c r="I39" t="n">
        <v>1517</v>
      </c>
      <c r="J39" t="n">
        <v>1213</v>
      </c>
      <c r="K39" t="n">
        <v>4</v>
      </c>
      <c r="L39" t="n">
        <v>4</v>
      </c>
      <c r="N39" s="5" t="n">
        <v>1.384847</v>
      </c>
      <c r="O39" s="5" t="n">
        <v>61.988167</v>
      </c>
      <c r="P39" s="5">
        <f>IF(OR(F39="",F39=0),"",O39/(F39*1440))</f>
        <v/>
      </c>
      <c r="Q39" s="3" t="n">
        <v>1427</v>
      </c>
      <c r="R39" t="n">
        <v>65</v>
      </c>
      <c r="S39" t="inlineStr">
        <is>
          <t>Healer</t>
        </is>
      </c>
      <c r="T39" t="inlineStr">
        <is>
          <t>2nd of 30</t>
        </is>
      </c>
      <c r="U39" s="5" t="n">
        <v>56</v>
      </c>
      <c r="V39" s="6">
        <f>IF(U39="","",O39/U39)</f>
        <v/>
      </c>
      <c r="Z39" t="inlineStr">
        <is>
          <t>REFlex + scoreboard</t>
        </is>
      </c>
      <c r="AA39" t="inlineStr">
        <is>
          <t>Synthetic example</t>
        </is>
      </c>
      <c r="AH39" t="inlineStr">
        <is>
          <t>Yes</t>
        </is>
      </c>
      <c r="AI39" t="inlineStr">
        <is>
          <t>2 of 2 (visible roster)</t>
        </is>
      </c>
    </row>
    <row r="40">
      <c r="A40" t="n">
        <v>36</v>
      </c>
      <c r="B40" s="10" t="n">
        <v>47770</v>
      </c>
      <c r="C40" t="inlineStr">
        <is>
          <t>05:11 PM</t>
        </is>
      </c>
      <c r="D40" t="inlineStr">
        <is>
          <t>Silvershard Mines</t>
        </is>
      </c>
      <c r="E40" t="inlineStr">
        <is>
          <t>Carts</t>
        </is>
      </c>
      <c r="F40" s="11" t="n">
        <v>0.006076388888888889</v>
      </c>
      <c r="G40" t="inlineStr">
        <is>
          <t>L</t>
        </is>
      </c>
      <c r="I40" t="n">
        <v>850</v>
      </c>
      <c r="J40" t="n">
        <v>1517</v>
      </c>
      <c r="K40" t="n">
        <v>0</v>
      </c>
      <c r="L40" t="n">
        <v>7</v>
      </c>
      <c r="M40" t="n">
        <v>0</v>
      </c>
      <c r="N40" s="5" t="n">
        <v>1.527327</v>
      </c>
      <c r="O40" s="5" t="n">
        <v>61.083967</v>
      </c>
      <c r="P40" s="5">
        <f>IF(OR(F40="",F40=0),"",O40/(F40*1440))</f>
        <v/>
      </c>
      <c r="Q40" s="3" t="n">
        <v>439</v>
      </c>
      <c r="S40" t="inlineStr">
        <is>
          <t>Healer / cart escort</t>
        </is>
      </c>
      <c r="T40" t="inlineStr">
        <is>
          <t>3rd overall</t>
        </is>
      </c>
      <c r="V40" s="6">
        <f>IF(U40="","",O40/U40)</f>
        <v/>
      </c>
      <c r="Y40" t="n">
        <v>18</v>
      </c>
      <c r="Z40" t="inlineStr">
        <is>
          <t>REFlex + scoreboard</t>
        </is>
      </c>
      <c r="AA40" t="inlineStr">
        <is>
          <t>Synthetic example</t>
        </is>
      </c>
    </row>
    <row r="41">
      <c r="A41" t="n">
        <v>37</v>
      </c>
      <c r="B41" s="10" t="n">
        <v>47770</v>
      </c>
      <c r="C41" t="inlineStr">
        <is>
          <t>05:22 PM</t>
        </is>
      </c>
      <c r="D41" t="inlineStr">
        <is>
          <t>Eye of the Storm</t>
        </is>
      </c>
      <c r="E41" t="inlineStr">
        <is>
          <t>Flag + Bases</t>
        </is>
      </c>
      <c r="F41" s="11" t="n">
        <v>0.004548611111111111</v>
      </c>
      <c r="G41" t="inlineStr">
        <is>
          <t>L</t>
        </is>
      </c>
      <c r="H41" t="inlineStr">
        <is>
          <t>Yes</t>
        </is>
      </c>
      <c r="I41" t="n">
        <v>563</v>
      </c>
      <c r="J41" t="n">
        <v>1517</v>
      </c>
      <c r="K41" t="n">
        <v>0</v>
      </c>
      <c r="L41" t="n">
        <v>5</v>
      </c>
      <c r="M41" t="n">
        <v>7</v>
      </c>
      <c r="N41" s="5" t="n">
        <v>1.020427</v>
      </c>
      <c r="O41" s="5" t="n">
        <v>53.740767</v>
      </c>
      <c r="P41" s="5">
        <f>IF(OR(F41="",F41=0),"",O41/(F41*1440))</f>
        <v/>
      </c>
      <c r="Q41" s="3" t="n">
        <v>230</v>
      </c>
      <c r="R41" t="n">
        <v>47</v>
      </c>
      <c r="S41" t="inlineStr">
        <is>
          <t>Healer (duo with Buddy B)</t>
        </is>
      </c>
      <c r="T41" t="inlineStr">
        <is>
          <t>1st of 16</t>
        </is>
      </c>
      <c r="U41" s="5" t="n">
        <v>33</v>
      </c>
      <c r="V41" s="6">
        <f>IF(U41="","",O41/U41)</f>
        <v/>
      </c>
      <c r="Z41" t="inlineStr">
        <is>
          <t>REFlex + scoreboard</t>
        </is>
      </c>
      <c r="AA41" t="inlineStr">
        <is>
          <t>Synthetic example</t>
        </is>
      </c>
      <c r="AH41" t="inlineStr">
        <is>
          <t>No</t>
        </is>
      </c>
      <c r="AI41" t="inlineStr">
        <is>
          <t>1 of 1 (full Blitz roster)</t>
        </is>
      </c>
    </row>
    <row r="42">
      <c r="A42" t="n">
        <v>38</v>
      </c>
      <c r="B42" s="10" t="n">
        <v>47770</v>
      </c>
      <c r="C42" t="inlineStr">
        <is>
          <t>05:37 PM</t>
        </is>
      </c>
      <c r="D42" t="inlineStr">
        <is>
          <t>Warsong Gulch</t>
        </is>
      </c>
      <c r="E42" t="inlineStr">
        <is>
          <t>Flag</t>
        </is>
      </c>
      <c r="F42" s="11" t="n">
        <v>0.00730324074074074</v>
      </c>
      <c r="G42" t="inlineStr">
        <is>
          <t>L</t>
        </is>
      </c>
      <c r="I42" t="n">
        <v>0</v>
      </c>
      <c r="J42" t="n">
        <v>20</v>
      </c>
      <c r="K42" t="n">
        <v>0</v>
      </c>
      <c r="L42" t="n">
        <v>0</v>
      </c>
      <c r="M42" t="n">
        <v>2</v>
      </c>
      <c r="N42" s="5" t="n">
        <v>0.08964900000000001</v>
      </c>
      <c r="O42" s="5" t="n">
        <v>124.186167</v>
      </c>
      <c r="P42" s="5">
        <f>IF(OR(F42="",F42=0),"",O42/(F42*1440))</f>
        <v/>
      </c>
      <c r="Q42" s="3" t="n">
        <v>507</v>
      </c>
      <c r="S42" t="inlineStr">
        <is>
          <t>Healer</t>
        </is>
      </c>
      <c r="T42" t="inlineStr">
        <is>
          <t>2nd of 20</t>
        </is>
      </c>
      <c r="U42" s="5" t="n">
        <v>48</v>
      </c>
      <c r="V42" s="6">
        <f>IF(U42="","",O42/U42)</f>
        <v/>
      </c>
      <c r="X42" t="n">
        <v>0</v>
      </c>
      <c r="Z42" t="inlineStr">
        <is>
          <t>REFlex + scoreboard</t>
        </is>
      </c>
      <c r="AA42" t="inlineStr">
        <is>
          <t>Synthetic example</t>
        </is>
      </c>
      <c r="AH42" t="inlineStr">
        <is>
          <t>No</t>
        </is>
      </c>
      <c r="AI42" t="inlineStr">
        <is>
          <t>1 of 1 (visible roster)</t>
        </is>
      </c>
    </row>
    <row r="43">
      <c r="A43" t="n">
        <v>39</v>
      </c>
      <c r="B43" s="10" t="n">
        <v>47770</v>
      </c>
      <c r="C43" t="inlineStr">
        <is>
          <t>05:50 PM</t>
        </is>
      </c>
      <c r="D43" t="inlineStr">
        <is>
          <t>Deepwind Gorge</t>
        </is>
      </c>
      <c r="E43" t="inlineStr">
        <is>
          <t>Bases</t>
        </is>
      </c>
      <c r="F43" s="11" t="n">
        <v>0.0053125</v>
      </c>
      <c r="G43" t="inlineStr">
        <is>
          <t>L</t>
        </is>
      </c>
      <c r="I43" t="n">
        <v>998</v>
      </c>
      <c r="J43" t="n">
        <v>1517</v>
      </c>
      <c r="K43" t="n">
        <v>4</v>
      </c>
      <c r="L43" t="n">
        <v>8</v>
      </c>
      <c r="M43" t="n">
        <v>0</v>
      </c>
      <c r="N43" s="5" t="n">
        <v>4.664627</v>
      </c>
      <c r="O43" s="5" t="n">
        <v>20.120967</v>
      </c>
      <c r="P43" s="5">
        <f>IF(OR(F43="",F43=0),"",O43/(F43*1440))</f>
        <v/>
      </c>
      <c r="Q43" s="3" t="n">
        <v>367</v>
      </c>
      <c r="S43" t="inlineStr">
        <is>
          <t>Healer (duo with Buddy B)</t>
        </is>
      </c>
      <c r="V43" s="6">
        <f>IF(U43="","",O43/U43)</f>
        <v/>
      </c>
      <c r="W43" t="n">
        <v>18</v>
      </c>
      <c r="Z43" t="inlineStr">
        <is>
          <t>REFlex + scoreboard</t>
        </is>
      </c>
      <c r="AA43" t="inlineStr">
        <is>
          <t>Synthetic example</t>
        </is>
      </c>
    </row>
    <row r="44">
      <c r="A44" t="n">
        <v>40</v>
      </c>
      <c r="B44" s="10" t="n">
        <v>47770</v>
      </c>
      <c r="C44" t="inlineStr">
        <is>
          <t>06:05 PM</t>
        </is>
      </c>
      <c r="D44" t="inlineStr">
        <is>
          <t>Silvershard Mines</t>
        </is>
      </c>
      <c r="E44" t="inlineStr">
        <is>
          <t>Carts</t>
        </is>
      </c>
      <c r="F44" s="11" t="n">
        <v>0.007337962962962963</v>
      </c>
      <c r="G44" t="inlineStr">
        <is>
          <t>L</t>
        </is>
      </c>
      <c r="H44" t="inlineStr">
        <is>
          <t>Yes</t>
        </is>
      </c>
      <c r="K44" t="n">
        <v>4</v>
      </c>
      <c r="L44" t="n">
        <v>6</v>
      </c>
      <c r="N44" s="5" t="n">
        <v>2.656207</v>
      </c>
      <c r="O44" s="5" t="n">
        <v>87.250967</v>
      </c>
      <c r="P44" s="5">
        <f>IF(OR(F44="",F44=0),"",O44/(F44*1440))</f>
        <v/>
      </c>
      <c r="Q44" s="3" t="n">
        <v>397</v>
      </c>
      <c r="V44" s="6">
        <f>IF(U44="","",O44/U44)</f>
        <v/>
      </c>
      <c r="Z44" t="inlineStr">
        <is>
          <t>REFlex</t>
        </is>
      </c>
    </row>
    <row r="45">
      <c r="A45" t="n">
        <v>41</v>
      </c>
      <c r="B45" s="10" t="n">
        <v>47776</v>
      </c>
      <c r="C45" t="inlineStr">
        <is>
          <t>04:32 PM</t>
        </is>
      </c>
      <c r="D45" t="inlineStr">
        <is>
          <t>Deepwind Gorge (Legacy)</t>
        </is>
      </c>
      <c r="E45" t="inlineStr">
        <is>
          <t>Carts</t>
        </is>
      </c>
      <c r="F45" s="11" t="n">
        <v>0.007708333333333334</v>
      </c>
      <c r="G45" t="inlineStr">
        <is>
          <t>W</t>
        </is>
      </c>
      <c r="I45" t="n">
        <v>1517</v>
      </c>
      <c r="J45" t="n">
        <v>687</v>
      </c>
      <c r="K45" t="n">
        <v>4</v>
      </c>
      <c r="L45" t="n">
        <v>2</v>
      </c>
      <c r="M45" t="n">
        <v>10</v>
      </c>
      <c r="N45" s="5" t="n">
        <v>1.979427</v>
      </c>
      <c r="O45" s="5" t="n">
        <v>110.294367</v>
      </c>
      <c r="P45" s="5">
        <f>IF(OR(F45="",F45=0),"",O45/(F45*1440))</f>
        <v/>
      </c>
      <c r="Q45" s="3" t="n">
        <v>858</v>
      </c>
      <c r="R45" t="n">
        <v>89</v>
      </c>
      <c r="S45" t="inlineStr">
        <is>
          <t>Healer</t>
        </is>
      </c>
      <c r="T45" t="inlineStr">
        <is>
          <t>1st of 30</t>
        </is>
      </c>
      <c r="U45" s="5" t="n">
        <v>42</v>
      </c>
      <c r="V45" s="6">
        <f>IF(U45="","",O45/U45)</f>
        <v/>
      </c>
      <c r="Y45" t="n">
        <v>0</v>
      </c>
      <c r="Z45" t="inlineStr">
        <is>
          <t>REFlex + scoreboard</t>
        </is>
      </c>
      <c r="AA45" t="inlineStr">
        <is>
          <t>Synthetic example</t>
        </is>
      </c>
      <c r="AC45">
        <f>SUMIFS('GM Roster'!$G$5:$G$2000,'GM Roster'!$A$5:$A$2000,$A45,'GM Roster'!$D$5:$D$2000,"Horde")</f>
        <v/>
      </c>
      <c r="AD45">
        <f>SUMIFS('GM Roster'!$G$5:$G$2000,'GM Roster'!$A$5:$A$2000,$A45,'GM Roster'!$D$5:$D$2000,"Alliance")</f>
        <v/>
      </c>
      <c r="AE45" t="inlineStr">
        <is>
          <t>3 vs 3</t>
        </is>
      </c>
      <c r="AF45" s="4">
        <f>SUMIFS('GM Roster'!$I$5:$I$2000,'GM Roster'!$A$5:$A$2000,$A45,'GM Roster'!$D$5:$D$2000,"Horde")</f>
        <v/>
      </c>
      <c r="AG45" s="4">
        <f>SUMIFS('GM Roster'!$I$5:$I$2000,'GM Roster'!$A$5:$A$2000,$A45,'GM Roster'!$D$5:$D$2000,"Alliance")</f>
        <v/>
      </c>
      <c r="AH45">
        <f>IF(COUNTIFS('GM Roster'!$A$5:$A$2000,$A45,'GM Roster'!$O$5:$O$2000,"Your premade")=0,"Solo",IF(AND(1+COUNTIFS('GM Roster'!$A$5:$A$2000,$A45,'GM Roster'!$O$5:$O$2000,"Your premade")&gt;=3,COUNTIFS('GM Roster'!$A$5:$A$2000,$A45,'GM Roster'!$O$5:$O$2000,"Your premade",'GM Roster'!$P$5:$P$2000,"Established")&gt;=2),"Yes","No"))</f>
        <v/>
      </c>
      <c r="AI45">
        <f>COUNTIFS('GM Roster'!$A$5:$A$2000,$A45,'GM Roster'!$O$5:$O$2000,"Your premade",'GM Roster'!$P$5:$P$2000,"Established")&amp;" of "&amp;COUNTIFS('GM Roster'!$A$5:$A$2000,$A45,'GM Roster'!$O$5:$O$2000,"Your premade")</f>
        <v/>
      </c>
    </row>
    <row r="46">
      <c r="A46" t="n">
        <v>42</v>
      </c>
      <c r="B46" s="10" t="n">
        <v>47776</v>
      </c>
      <c r="D46" t="inlineStr">
        <is>
          <t>Temple of Kotmogu</t>
        </is>
      </c>
      <c r="E46" t="inlineStr">
        <is>
          <t>Orbs</t>
        </is>
      </c>
      <c r="G46" t="inlineStr">
        <is>
          <t>W</t>
        </is>
      </c>
      <c r="I46" t="n">
        <v>1517</v>
      </c>
      <c r="J46" t="n">
        <v>139</v>
      </c>
      <c r="K46" t="n">
        <v>0</v>
      </c>
      <c r="L46" t="n">
        <v>6</v>
      </c>
      <c r="M46" t="n">
        <v>0</v>
      </c>
      <c r="N46" s="5" t="n">
        <v>1.724607</v>
      </c>
      <c r="O46" s="5" t="n">
        <v>19.326367</v>
      </c>
      <c r="P46" s="5">
        <f>IF(OR(F46="",F46=0),"",O46/(F46*1440))</f>
        <v/>
      </c>
      <c r="Q46" s="3" t="n">
        <v>779</v>
      </c>
      <c r="R46" t="n">
        <v>137</v>
      </c>
      <c r="S46" t="inlineStr">
        <is>
          <t>Healer</t>
        </is>
      </c>
      <c r="T46" t="inlineStr">
        <is>
          <t>2nd of 18</t>
        </is>
      </c>
      <c r="U46" s="5" t="n">
        <v>25</v>
      </c>
      <c r="V46" s="6">
        <f>IF(U46="","",O46/U46)</f>
        <v/>
      </c>
      <c r="Z46" t="inlineStr">
        <is>
          <t>Scoreboard (full roster)</t>
        </is>
      </c>
      <c r="AA46" t="inlineStr">
        <is>
          <t>Synthetic example</t>
        </is>
      </c>
      <c r="AC46">
        <f>SUMIFS('GM Roster'!$G$5:$G$2000,'GM Roster'!$A$5:$A$2000,$A46,'GM Roster'!$D$5:$D$2000,"Horde")</f>
        <v/>
      </c>
      <c r="AD46">
        <f>SUMIFS('GM Roster'!$G$5:$G$2000,'GM Roster'!$A$5:$A$2000,$A46,'GM Roster'!$D$5:$D$2000,"Alliance")</f>
        <v/>
      </c>
      <c r="AE46" t="inlineStr">
        <is>
          <t>2 vs 2</t>
        </is>
      </c>
      <c r="AF46" s="4">
        <f>SUMIFS('GM Roster'!$I$5:$I$2000,'GM Roster'!$A$5:$A$2000,$A46,'GM Roster'!$D$5:$D$2000,"Horde")</f>
        <v/>
      </c>
      <c r="AG46" s="4">
        <f>SUMIFS('GM Roster'!$I$5:$I$2000,'GM Roster'!$A$5:$A$2000,$A46,'GM Roster'!$D$5:$D$2000,"Alliance")</f>
        <v/>
      </c>
      <c r="AH46">
        <f>IF(COUNTIFS('GM Roster'!$A$5:$A$2000,$A46,'GM Roster'!$O$5:$O$2000,"Your premade")=0,"Solo",IF(AND(1+COUNTIFS('GM Roster'!$A$5:$A$2000,$A46,'GM Roster'!$O$5:$O$2000,"Your premade")&gt;=3,COUNTIFS('GM Roster'!$A$5:$A$2000,$A46,'GM Roster'!$O$5:$O$2000,"Your premade",'GM Roster'!$P$5:$P$2000,"Established")&gt;=2),"Yes","No"))</f>
        <v/>
      </c>
      <c r="AI46">
        <f>COUNTIFS('GM Roster'!$A$5:$A$2000,$A46,'GM Roster'!$O$5:$O$2000,"Your premade",'GM Roster'!$P$5:$P$2000,"Established")&amp;" of "&amp;COUNTIFS('GM Roster'!$A$5:$A$2000,$A46,'GM Roster'!$O$5:$O$2000,"Your premade")</f>
        <v/>
      </c>
    </row>
    <row r="47">
      <c r="A47" t="n">
        <v>43</v>
      </c>
      <c r="B47" s="10" t="n">
        <v>47776</v>
      </c>
      <c r="D47" t="inlineStr">
        <is>
          <t>Alterac Valley</t>
        </is>
      </c>
      <c r="E47" t="inlineStr">
        <is>
          <t>Epic</t>
        </is>
      </c>
      <c r="G47" t="inlineStr">
        <is>
          <t>L</t>
        </is>
      </c>
      <c r="I47" t="n">
        <v>0</v>
      </c>
      <c r="J47" t="n">
        <v>685</v>
      </c>
      <c r="K47" t="n">
        <v>0</v>
      </c>
      <c r="L47" t="n">
        <v>5</v>
      </c>
      <c r="M47" t="n">
        <v>3</v>
      </c>
      <c r="N47" s="5" t="n">
        <v>0.203907</v>
      </c>
      <c r="O47" s="5" t="n">
        <v>149.065367</v>
      </c>
      <c r="P47" s="5">
        <f>IF(OR(F47="",F47=0),"",O47/(F47*1440))</f>
        <v/>
      </c>
      <c r="Q47" s="3" t="n">
        <v>468</v>
      </c>
      <c r="R47" t="n">
        <v>0</v>
      </c>
      <c r="S47" t="inlineStr">
        <is>
          <t>Healer</t>
        </is>
      </c>
      <c r="T47" t="inlineStr">
        <is>
          <t>3rd of 79</t>
        </is>
      </c>
      <c r="U47" s="5" t="n">
        <v>75</v>
      </c>
      <c r="V47" s="6">
        <f>IF(U47="","",O47/U47)</f>
        <v/>
      </c>
      <c r="Z47" t="inlineStr">
        <is>
          <t>Scoreboard (partial roster)</t>
        </is>
      </c>
      <c r="AA47" t="inlineStr">
        <is>
          <t>Synthetic example</t>
        </is>
      </c>
      <c r="AE47" t="inlineStr">
        <is>
          <t>3+ vs 6+ (visible only)</t>
        </is>
      </c>
      <c r="AH47">
        <f>IF(COUNTIFS('GM Roster'!$A$5:$A$2000,$A47,'GM Roster'!$O$5:$O$2000,"Your premade")=0,"Solo",IF(AND(1+COUNTIFS('GM Roster'!$A$5:$A$2000,$A47,'GM Roster'!$O$5:$O$2000,"Your premade")&gt;=3,COUNTIFS('GM Roster'!$A$5:$A$2000,$A47,'GM Roster'!$O$5:$O$2000,"Your premade",'GM Roster'!$P$5:$P$2000,"Established")&gt;=2),"Yes","No"))</f>
        <v/>
      </c>
      <c r="AI47">
        <f>COUNTIFS('GM Roster'!$A$5:$A$2000,$A47,'GM Roster'!$O$5:$O$2000,"Your premade",'GM Roster'!$P$5:$P$2000,"Established")&amp;" of "&amp;COUNTIFS('GM Roster'!$A$5:$A$2000,$A47,'GM Roster'!$O$5:$O$2000,"Your premade")</f>
        <v/>
      </c>
    </row>
    <row r="48">
      <c r="A48" t="n">
        <v>44</v>
      </c>
      <c r="B48" s="10" t="n">
        <v>47776</v>
      </c>
      <c r="D48" t="inlineStr">
        <is>
          <t>Deepwind Gorge (Legacy)</t>
        </is>
      </c>
      <c r="E48" t="inlineStr">
        <is>
          <t>Carts</t>
        </is>
      </c>
      <c r="G48" t="inlineStr">
        <is>
          <t>W</t>
        </is>
      </c>
      <c r="I48" t="n">
        <v>1297</v>
      </c>
      <c r="J48" t="n">
        <v>512</v>
      </c>
      <c r="K48" t="n">
        <v>2</v>
      </c>
      <c r="L48" t="n">
        <v>2</v>
      </c>
      <c r="M48" t="n">
        <v>2</v>
      </c>
      <c r="N48" s="5" t="n">
        <v>8.528027</v>
      </c>
      <c r="O48" s="5" t="n">
        <v>112.458967</v>
      </c>
      <c r="P48" s="5">
        <f>IF(OR(F48="",F48=0),"",O48/(F48*1440))</f>
        <v/>
      </c>
      <c r="Q48" s="3" t="n">
        <v>613</v>
      </c>
      <c r="R48" t="n">
        <v>32</v>
      </c>
      <c r="S48" t="inlineStr">
        <is>
          <t>Healer</t>
        </is>
      </c>
      <c r="T48" t="inlineStr">
        <is>
          <t>5th of 30 (3rd Horde)</t>
        </is>
      </c>
      <c r="U48" s="5" t="n">
        <v>65</v>
      </c>
      <c r="V48" s="6">
        <f>IF(U48="","",O48/U48)</f>
        <v/>
      </c>
      <c r="Y48" t="n">
        <v>0</v>
      </c>
      <c r="Z48" t="inlineStr">
        <is>
          <t>Scoreboard (full roster)</t>
        </is>
      </c>
      <c r="AA48" t="inlineStr">
        <is>
          <t>Synthetic example</t>
        </is>
      </c>
      <c r="AC48">
        <f>SUMIFS('GM Roster'!$G$5:$G$2000,'GM Roster'!$A$5:$A$2000,$A48,'GM Roster'!$D$5:$D$2000,"Horde")</f>
        <v/>
      </c>
      <c r="AD48">
        <f>SUMIFS('GM Roster'!$G$5:$G$2000,'GM Roster'!$A$5:$A$2000,$A48,'GM Roster'!$D$5:$D$2000,"Alliance")</f>
        <v/>
      </c>
      <c r="AE48" t="inlineStr">
        <is>
          <t>3 vs 4</t>
        </is>
      </c>
      <c r="AF48" s="4">
        <f>SUMIFS('GM Roster'!$I$5:$I$2000,'GM Roster'!$A$5:$A$2000,$A48,'GM Roster'!$D$5:$D$2000,"Horde")</f>
        <v/>
      </c>
      <c r="AG48" s="4">
        <f>SUMIFS('GM Roster'!$I$5:$I$2000,'GM Roster'!$A$5:$A$2000,$A48,'GM Roster'!$D$5:$D$2000,"Alliance")</f>
        <v/>
      </c>
      <c r="AH48">
        <f>IF(COUNTIFS('GM Roster'!$A$5:$A$2000,$A48,'GM Roster'!$O$5:$O$2000,"Your premade")=0,"Solo",IF(AND(1+COUNTIFS('GM Roster'!$A$5:$A$2000,$A48,'GM Roster'!$O$5:$O$2000,"Your premade")&gt;=3,COUNTIFS('GM Roster'!$A$5:$A$2000,$A48,'GM Roster'!$O$5:$O$2000,"Your premade",'GM Roster'!$P$5:$P$2000,"Established")&gt;=2),"Yes","No"))</f>
        <v/>
      </c>
      <c r="AI48">
        <f>COUNTIFS('GM Roster'!$A$5:$A$2000,$A48,'GM Roster'!$O$5:$O$2000,"Your premade",'GM Roster'!$P$5:$P$2000,"Established")&amp;" of "&amp;COUNTIFS('GM Roster'!$A$5:$A$2000,$A48,'GM Roster'!$O$5:$O$2000,"Your premade")</f>
        <v/>
      </c>
    </row>
    <row r="49">
      <c r="A49" t="n">
        <v>45</v>
      </c>
      <c r="B49" s="10" t="n">
        <v>47776</v>
      </c>
      <c r="D49" t="inlineStr">
        <is>
          <t>Deephaul Ravine</t>
        </is>
      </c>
      <c r="E49" t="inlineStr">
        <is>
          <t>Carts</t>
        </is>
      </c>
      <c r="G49" t="inlineStr">
        <is>
          <t>W</t>
        </is>
      </c>
      <c r="I49" t="n">
        <v>1517</v>
      </c>
      <c r="J49" t="n">
        <v>1308</v>
      </c>
      <c r="K49" t="n">
        <v>7</v>
      </c>
      <c r="L49" t="n">
        <v>2</v>
      </c>
      <c r="M49" t="n">
        <v>0</v>
      </c>
      <c r="N49" s="5" t="n">
        <v>3.185027</v>
      </c>
      <c r="O49" s="5" t="n">
        <v>99.608367</v>
      </c>
      <c r="P49" s="5">
        <f>IF(OR(F49="",F49=0),"",O49/(F49*1440))</f>
        <v/>
      </c>
      <c r="Q49" s="3" t="n">
        <v>483</v>
      </c>
      <c r="R49" t="n">
        <v>44</v>
      </c>
      <c r="S49" t="inlineStr">
        <is>
          <t>Healer</t>
        </is>
      </c>
      <c r="T49" t="inlineStr">
        <is>
          <t>2nd of 20</t>
        </is>
      </c>
      <c r="U49" s="5" t="n">
        <v>47</v>
      </c>
      <c r="V49" s="6">
        <f>IF(U49="","",O49/U49)</f>
        <v/>
      </c>
      <c r="Y49" t="n">
        <v>0</v>
      </c>
      <c r="Z49" t="inlineStr">
        <is>
          <t>Scoreboard (full roster)</t>
        </is>
      </c>
      <c r="AA49" t="inlineStr">
        <is>
          <t>Synthetic example</t>
        </is>
      </c>
      <c r="AC49">
        <f>SUMIFS('GM Roster'!$G$5:$G$2000,'GM Roster'!$A$5:$A$2000,$A49,'GM Roster'!$D$5:$D$2000,"Horde")</f>
        <v/>
      </c>
      <c r="AD49">
        <f>SUMIFS('GM Roster'!$G$5:$G$2000,'GM Roster'!$A$5:$A$2000,$A49,'GM Roster'!$D$5:$D$2000,"Alliance")</f>
        <v/>
      </c>
      <c r="AE49" t="inlineStr">
        <is>
          <t>2 vs 3</t>
        </is>
      </c>
      <c r="AF49" s="4">
        <f>SUMIFS('GM Roster'!$I$5:$I$2000,'GM Roster'!$A$5:$A$2000,$A49,'GM Roster'!$D$5:$D$2000,"Horde")</f>
        <v/>
      </c>
      <c r="AG49" s="4">
        <f>SUMIFS('GM Roster'!$I$5:$I$2000,'GM Roster'!$A$5:$A$2000,$A49,'GM Roster'!$D$5:$D$2000,"Alliance")</f>
        <v/>
      </c>
      <c r="AH49">
        <f>IF(COUNTIFS('GM Roster'!$A$5:$A$2000,$A49,'GM Roster'!$O$5:$O$2000,"Your premade")=0,"Solo",IF(AND(1+COUNTIFS('GM Roster'!$A$5:$A$2000,$A49,'GM Roster'!$O$5:$O$2000,"Your premade")&gt;=3,COUNTIFS('GM Roster'!$A$5:$A$2000,$A49,'GM Roster'!$O$5:$O$2000,"Your premade",'GM Roster'!$P$5:$P$2000,"Established")&gt;=2),"Yes","No"))</f>
        <v/>
      </c>
      <c r="AI49">
        <f>COUNTIFS('GM Roster'!$A$5:$A$2000,$A49,'GM Roster'!$O$5:$O$2000,"Your premade",'GM Roster'!$P$5:$P$2000,"Established")&amp;" of "&amp;COUNTIFS('GM Roster'!$A$5:$A$2000,$A49,'GM Roster'!$O$5:$O$2000,"Your premade")</f>
        <v/>
      </c>
    </row>
    <row r="50">
      <c r="A50" t="n">
        <v>46</v>
      </c>
      <c r="B50" s="10" t="n">
        <v>47776</v>
      </c>
      <c r="D50" t="inlineStr">
        <is>
          <t>Flag map (verify in REFlex)</t>
        </is>
      </c>
      <c r="E50" t="inlineStr">
        <is>
          <t>Flag</t>
        </is>
      </c>
      <c r="G50" t="inlineStr">
        <is>
          <t>W</t>
        </is>
      </c>
      <c r="I50" t="n">
        <v>20</v>
      </c>
      <c r="J50" t="n">
        <v>0</v>
      </c>
      <c r="K50" t="n">
        <v>0</v>
      </c>
      <c r="L50" t="n">
        <v>7</v>
      </c>
      <c r="M50" t="n">
        <v>4</v>
      </c>
      <c r="N50" s="5" t="n">
        <v>3.541227</v>
      </c>
      <c r="O50" s="5" t="n">
        <v>106.978967</v>
      </c>
      <c r="P50" s="5">
        <f>IF(OR(F50="",F50=0),"",O50/(F50*1440))</f>
        <v/>
      </c>
      <c r="Q50" s="3" t="n">
        <v>528</v>
      </c>
      <c r="R50" t="n">
        <v>44</v>
      </c>
      <c r="S50" t="inlineStr">
        <is>
          <t>Healer</t>
        </is>
      </c>
      <c r="T50" t="inlineStr">
        <is>
          <t>3rd of 20 (1st Horde)</t>
        </is>
      </c>
      <c r="U50" s="5" t="n">
        <v>52</v>
      </c>
      <c r="V50" s="6">
        <f>IF(U50="","",O50/U50)</f>
        <v/>
      </c>
      <c r="X50" t="n">
        <v>0</v>
      </c>
      <c r="Z50" t="inlineStr">
        <is>
          <t>Scoreboard (full roster)</t>
        </is>
      </c>
      <c r="AA50" t="inlineStr">
        <is>
          <t>Synthetic example</t>
        </is>
      </c>
      <c r="AB50" t="n">
        <v>361</v>
      </c>
      <c r="AC50">
        <f>SUMIFS('GM Roster'!$G$5:$G$2000,'GM Roster'!$A$5:$A$2000,$A50,'GM Roster'!$D$5:$D$2000,"Horde")</f>
        <v/>
      </c>
      <c r="AD50">
        <f>SUMIFS('GM Roster'!$G$5:$G$2000,'GM Roster'!$A$5:$A$2000,$A50,'GM Roster'!$D$5:$D$2000,"Alliance")</f>
        <v/>
      </c>
      <c r="AE50" t="inlineStr">
        <is>
          <t>2 vs 2</t>
        </is>
      </c>
      <c r="AF50" s="4">
        <f>SUMIFS('GM Roster'!$I$5:$I$2000,'GM Roster'!$A$5:$A$2000,$A50,'GM Roster'!$D$5:$D$2000,"Horde")</f>
        <v/>
      </c>
      <c r="AG50" s="4">
        <f>SUMIFS('GM Roster'!$I$5:$I$2000,'GM Roster'!$A$5:$A$2000,$A50,'GM Roster'!$D$5:$D$2000,"Alliance")</f>
        <v/>
      </c>
      <c r="AH50">
        <f>IF(COUNTIFS('GM Roster'!$A$5:$A$2000,$A50,'GM Roster'!$O$5:$O$2000,"Your premade")=0,"Solo",IF(AND(1+COUNTIFS('GM Roster'!$A$5:$A$2000,$A50,'GM Roster'!$O$5:$O$2000,"Your premade")&gt;=3,COUNTIFS('GM Roster'!$A$5:$A$2000,$A50,'GM Roster'!$O$5:$O$2000,"Your premade",'GM Roster'!$P$5:$P$2000,"Established")&gt;=2),"Yes","No"))</f>
        <v/>
      </c>
      <c r="AI50">
        <f>COUNTIFS('GM Roster'!$A$5:$A$2000,$A50,'GM Roster'!$O$5:$O$2000,"Your premade",'GM Roster'!$P$5:$P$2000,"Established")&amp;" of "&amp;COUNTIFS('GM Roster'!$A$5:$A$2000,$A50,'GM Roster'!$O$5:$O$2000,"Your premade")</f>
        <v/>
      </c>
    </row>
    <row r="51">
      <c r="A51" t="n">
        <v>47</v>
      </c>
      <c r="B51" s="10" t="n">
        <v>47776</v>
      </c>
      <c r="D51" t="inlineStr">
        <is>
          <t>Deepwind Gorge (Legacy)</t>
        </is>
      </c>
      <c r="E51" t="inlineStr">
        <is>
          <t>Carts</t>
        </is>
      </c>
      <c r="G51" t="inlineStr">
        <is>
          <t>L</t>
        </is>
      </c>
      <c r="I51" t="n">
        <v>437</v>
      </c>
      <c r="J51" t="n">
        <v>1517</v>
      </c>
      <c r="K51" t="n">
        <v>0</v>
      </c>
      <c r="L51" t="n">
        <v>9</v>
      </c>
      <c r="M51" t="n">
        <v>4</v>
      </c>
      <c r="N51" s="5" t="n">
        <v>2.154787</v>
      </c>
      <c r="O51" s="5" t="n">
        <v>74.893567</v>
      </c>
      <c r="P51" s="5">
        <f>IF(OR(F51="",F51=0),"",O51/(F51*1440))</f>
        <v/>
      </c>
      <c r="Q51" s="3" t="n">
        <v>290</v>
      </c>
      <c r="R51" t="n">
        <v>0</v>
      </c>
      <c r="S51" t="inlineStr">
        <is>
          <t>Healer</t>
        </is>
      </c>
      <c r="T51" t="inlineStr">
        <is>
          <t>1st of 28</t>
        </is>
      </c>
      <c r="U51" s="5" t="n">
        <v>37</v>
      </c>
      <c r="V51" s="6">
        <f>IF(U51="","",O51/U51)</f>
        <v/>
      </c>
      <c r="Y51" t="n">
        <v>0</v>
      </c>
      <c r="Z51" t="inlineStr">
        <is>
          <t>Scoreboard (full roster)</t>
        </is>
      </c>
      <c r="AA51" t="inlineStr">
        <is>
          <t>Synthetic example</t>
        </is>
      </c>
      <c r="AB51" t="n">
        <v>361</v>
      </c>
      <c r="AC51">
        <f>SUMIFS('GM Roster'!$G$5:$G$2000,'GM Roster'!$A$5:$A$2000,$A51,'GM Roster'!$D$5:$D$2000,"Horde")</f>
        <v/>
      </c>
      <c r="AD51">
        <f>SUMIFS('GM Roster'!$G$5:$G$2000,'GM Roster'!$A$5:$A$2000,$A51,'GM Roster'!$D$5:$D$2000,"Alliance")</f>
        <v/>
      </c>
      <c r="AE51" t="inlineStr">
        <is>
          <t>2 vs 3</t>
        </is>
      </c>
      <c r="AF51" s="4">
        <f>SUMIFS('GM Roster'!$I$5:$I$2000,'GM Roster'!$A$5:$A$2000,$A51,'GM Roster'!$D$5:$D$2000,"Horde")</f>
        <v/>
      </c>
      <c r="AG51" s="4">
        <f>SUMIFS('GM Roster'!$I$5:$I$2000,'GM Roster'!$A$5:$A$2000,$A51,'GM Roster'!$D$5:$D$2000,"Alliance")</f>
        <v/>
      </c>
      <c r="AH51">
        <f>IF(COUNTIFS('GM Roster'!$A$5:$A$2000,$A51,'GM Roster'!$O$5:$O$2000,"Your premade")=0,"Solo",IF(AND(1+COUNTIFS('GM Roster'!$A$5:$A$2000,$A51,'GM Roster'!$O$5:$O$2000,"Your premade")&gt;=3,COUNTIFS('GM Roster'!$A$5:$A$2000,$A51,'GM Roster'!$O$5:$O$2000,"Your premade",'GM Roster'!$P$5:$P$2000,"Established")&gt;=2),"Yes","No"))</f>
        <v/>
      </c>
      <c r="AI51">
        <f>COUNTIFS('GM Roster'!$A$5:$A$2000,$A51,'GM Roster'!$O$5:$O$2000,"Your premade",'GM Roster'!$P$5:$P$2000,"Established")&amp;" of "&amp;COUNTIFS('GM Roster'!$A$5:$A$2000,$A51,'GM Roster'!$O$5:$O$2000,"Your premade")</f>
        <v/>
      </c>
    </row>
    <row r="52">
      <c r="A52" t="n">
        <v>48</v>
      </c>
      <c r="B52" s="10" t="n">
        <v>47776</v>
      </c>
      <c r="D52" t="inlineStr">
        <is>
          <t>Deepwind Gorge (Legacy)</t>
        </is>
      </c>
      <c r="E52" t="inlineStr">
        <is>
          <t>Carts</t>
        </is>
      </c>
      <c r="G52" t="inlineStr">
        <is>
          <t>W</t>
        </is>
      </c>
      <c r="I52" t="n">
        <v>1517</v>
      </c>
      <c r="J52" t="n">
        <v>1097</v>
      </c>
      <c r="K52" t="n">
        <v>4</v>
      </c>
      <c r="L52" t="n">
        <v>9</v>
      </c>
      <c r="M52" t="n">
        <v>0</v>
      </c>
      <c r="N52" s="5" t="n">
        <v>10.418627</v>
      </c>
      <c r="O52" s="5" t="n">
        <v>81.990167</v>
      </c>
      <c r="P52" s="5">
        <f>IF(OR(F52="",F52=0),"",O52/(F52*1440))</f>
        <v/>
      </c>
      <c r="Q52" s="3" t="n">
        <v>709</v>
      </c>
      <c r="R52" t="n">
        <v>32</v>
      </c>
      <c r="S52" t="inlineStr">
        <is>
          <t>Healer</t>
        </is>
      </c>
      <c r="T52" t="inlineStr">
        <is>
          <t>3rd of 30 (2nd Horde)</t>
        </is>
      </c>
      <c r="U52" s="5" t="n">
        <v>52</v>
      </c>
      <c r="V52" s="6">
        <f>IF(U52="","",O52/U52)</f>
        <v/>
      </c>
      <c r="Y52" t="n">
        <v>0</v>
      </c>
      <c r="Z52" t="inlineStr">
        <is>
          <t>Scoreboard (full roster)</t>
        </is>
      </c>
      <c r="AA52" t="inlineStr">
        <is>
          <t>Synthetic example</t>
        </is>
      </c>
      <c r="AB52" t="n">
        <v>361</v>
      </c>
      <c r="AC52">
        <f>SUMIFS('GM Roster'!$G$5:$G$2000,'GM Roster'!$A$5:$A$2000,$A52,'GM Roster'!$D$5:$D$2000,"Horde")</f>
        <v/>
      </c>
      <c r="AD52">
        <f>SUMIFS('GM Roster'!$G$5:$G$2000,'GM Roster'!$A$5:$A$2000,$A52,'GM Roster'!$D$5:$D$2000,"Alliance")</f>
        <v/>
      </c>
      <c r="AE52" t="inlineStr">
        <is>
          <t>3 vs 3</t>
        </is>
      </c>
      <c r="AF52" s="4">
        <f>SUMIFS('GM Roster'!$I$5:$I$2000,'GM Roster'!$A$5:$A$2000,$A52,'GM Roster'!$D$5:$D$2000,"Horde")</f>
        <v/>
      </c>
      <c r="AG52" s="4">
        <f>SUMIFS('GM Roster'!$I$5:$I$2000,'GM Roster'!$A$5:$A$2000,$A52,'GM Roster'!$D$5:$D$2000,"Alliance")</f>
        <v/>
      </c>
      <c r="AH52">
        <f>IF(COUNTIFS('GM Roster'!$A$5:$A$2000,$A52,'GM Roster'!$O$5:$O$2000,"Your premade")=0,"Solo",IF(AND(1+COUNTIFS('GM Roster'!$A$5:$A$2000,$A52,'GM Roster'!$O$5:$O$2000,"Your premade")&gt;=3,COUNTIFS('GM Roster'!$A$5:$A$2000,$A52,'GM Roster'!$O$5:$O$2000,"Your premade",'GM Roster'!$P$5:$P$2000,"Established")&gt;=2),"Yes","No"))</f>
        <v/>
      </c>
      <c r="AI52">
        <f>COUNTIFS('GM Roster'!$A$5:$A$2000,$A52,'GM Roster'!$O$5:$O$2000,"Your premade",'GM Roster'!$P$5:$P$2000,"Established")&amp;" of "&amp;COUNTIFS('GM Roster'!$A$5:$A$2000,$A52,'GM Roster'!$O$5:$O$2000,"Your premade")</f>
        <v/>
      </c>
    </row>
    <row r="53">
      <c r="A53" t="n">
        <v>49</v>
      </c>
      <c r="B53" s="10" t="n">
        <v>47776</v>
      </c>
      <c r="D53" t="inlineStr">
        <is>
          <t>Deephaul Ravine</t>
        </is>
      </c>
      <c r="E53" t="inlineStr">
        <is>
          <t>Carts</t>
        </is>
      </c>
      <c r="G53" t="inlineStr">
        <is>
          <t>W</t>
        </is>
      </c>
      <c r="I53" t="n">
        <v>1517</v>
      </c>
      <c r="J53" t="n">
        <v>227</v>
      </c>
      <c r="K53" t="n">
        <v>0</v>
      </c>
      <c r="L53" t="n">
        <v>5</v>
      </c>
      <c r="M53" t="n">
        <v>0</v>
      </c>
      <c r="N53" s="5" t="n">
        <v>1.793107</v>
      </c>
      <c r="O53" s="5" t="n">
        <v>13.818967</v>
      </c>
      <c r="P53" s="5">
        <f>IF(OR(F53="",F53=0),"",O53/(F53*1440))</f>
        <v/>
      </c>
      <c r="Q53" s="3" t="n">
        <v>352</v>
      </c>
      <c r="R53" t="n">
        <v>44</v>
      </c>
      <c r="S53" t="inlineStr">
        <is>
          <t>Healer</t>
        </is>
      </c>
      <c r="T53" t="inlineStr">
        <is>
          <t>3rd of 20</t>
        </is>
      </c>
      <c r="U53" s="5" t="n">
        <v>29</v>
      </c>
      <c r="V53" s="6">
        <f>IF(U53="","",O53/U53)</f>
        <v/>
      </c>
      <c r="Y53" t="n">
        <v>0</v>
      </c>
      <c r="Z53" t="inlineStr">
        <is>
          <t>Scoreboard (full roster)</t>
        </is>
      </c>
      <c r="AA53" t="inlineStr">
        <is>
          <t>Synthetic example</t>
        </is>
      </c>
      <c r="AB53" t="n">
        <v>361</v>
      </c>
      <c r="AC53">
        <f>SUMIFS('GM Roster'!$G$5:$G$2000,'GM Roster'!$A$5:$A$2000,$A53,'GM Roster'!$D$5:$D$2000,"Horde")</f>
        <v/>
      </c>
      <c r="AD53">
        <f>SUMIFS('GM Roster'!$G$5:$G$2000,'GM Roster'!$A$5:$A$2000,$A53,'GM Roster'!$D$5:$D$2000,"Alliance")</f>
        <v/>
      </c>
      <c r="AE53" t="inlineStr">
        <is>
          <t>2 vs 2</t>
        </is>
      </c>
      <c r="AF53" s="4">
        <f>SUMIFS('GM Roster'!$I$5:$I$2000,'GM Roster'!$A$5:$A$2000,$A53,'GM Roster'!$D$5:$D$2000,"Horde")</f>
        <v/>
      </c>
      <c r="AG53" s="4">
        <f>SUMIFS('GM Roster'!$I$5:$I$2000,'GM Roster'!$A$5:$A$2000,$A53,'GM Roster'!$D$5:$D$2000,"Alliance")</f>
        <v/>
      </c>
      <c r="AH53">
        <f>IF(COUNTIFS('GM Roster'!$A$5:$A$2000,$A53,'GM Roster'!$O$5:$O$2000,"Your premade")=0,"Solo",IF(AND(1+COUNTIFS('GM Roster'!$A$5:$A$2000,$A53,'GM Roster'!$O$5:$O$2000,"Your premade")&gt;=3,COUNTIFS('GM Roster'!$A$5:$A$2000,$A53,'GM Roster'!$O$5:$O$2000,"Your premade",'GM Roster'!$P$5:$P$2000,"Established")&gt;=2),"Yes","No"))</f>
        <v/>
      </c>
      <c r="AI53">
        <f>COUNTIFS('GM Roster'!$A$5:$A$2000,$A53,'GM Roster'!$O$5:$O$2000,"Your premade",'GM Roster'!$P$5:$P$2000,"Established")&amp;" of "&amp;COUNTIFS('GM Roster'!$A$5:$A$2000,$A53,'GM Roster'!$O$5:$O$2000,"Your premade")</f>
        <v/>
      </c>
    </row>
    <row r="54">
      <c r="A54" t="n">
        <v>50</v>
      </c>
      <c r="B54" s="10" t="n">
        <v>47776</v>
      </c>
      <c r="D54" t="inlineStr">
        <is>
          <t>Flag map (verify in REFlex)</t>
        </is>
      </c>
      <c r="E54" t="inlineStr">
        <is>
          <t>Flag</t>
        </is>
      </c>
      <c r="G54" t="inlineStr">
        <is>
          <t>L</t>
        </is>
      </c>
      <c r="I54" t="n">
        <v>0</v>
      </c>
      <c r="J54" t="n">
        <v>20</v>
      </c>
      <c r="K54" t="n">
        <v>0</v>
      </c>
      <c r="L54" t="n">
        <v>2</v>
      </c>
      <c r="M54" t="n">
        <v>7</v>
      </c>
      <c r="N54" s="5" t="n">
        <v>3.404227</v>
      </c>
      <c r="O54" s="5" t="n">
        <v>102.266167</v>
      </c>
      <c r="P54" s="5">
        <f>IF(OR(F54="",F54=0),"",O54/(F54*1440))</f>
        <v/>
      </c>
      <c r="Q54" s="3" t="n">
        <v>354</v>
      </c>
      <c r="R54" t="n">
        <v>0</v>
      </c>
      <c r="S54" t="inlineStr">
        <is>
          <t>Healer</t>
        </is>
      </c>
      <c r="T54" t="inlineStr">
        <is>
          <t>1st of 20</t>
        </is>
      </c>
      <c r="U54" s="5" t="n">
        <v>43</v>
      </c>
      <c r="V54" s="6">
        <f>IF(U54="","",O54/U54)</f>
        <v/>
      </c>
      <c r="X54" t="n">
        <v>0</v>
      </c>
      <c r="Z54" t="inlineStr">
        <is>
          <t>Scoreboard (full roster)</t>
        </is>
      </c>
      <c r="AA54" t="inlineStr">
        <is>
          <t>Synthetic example</t>
        </is>
      </c>
      <c r="AB54" t="n">
        <v>361</v>
      </c>
      <c r="AC54">
        <f>SUMIFS('GM Roster'!$G$5:$G$2000,'GM Roster'!$A$5:$A$2000,$A54,'GM Roster'!$D$5:$D$2000,"Horde")</f>
        <v/>
      </c>
      <c r="AD54">
        <f>SUMIFS('GM Roster'!$G$5:$G$2000,'GM Roster'!$A$5:$A$2000,$A54,'GM Roster'!$D$5:$D$2000,"Alliance")</f>
        <v/>
      </c>
      <c r="AE54" t="inlineStr">
        <is>
          <t>2 vs 2</t>
        </is>
      </c>
      <c r="AF54" s="4">
        <f>SUMIFS('GM Roster'!$I$5:$I$2000,'GM Roster'!$A$5:$A$2000,$A54,'GM Roster'!$D$5:$D$2000,"Horde")</f>
        <v/>
      </c>
      <c r="AG54" s="4">
        <f>SUMIFS('GM Roster'!$I$5:$I$2000,'GM Roster'!$A$5:$A$2000,$A54,'GM Roster'!$D$5:$D$2000,"Alliance")</f>
        <v/>
      </c>
      <c r="AH54">
        <f>IF(COUNTIFS('GM Roster'!$A$5:$A$2000,$A54,'GM Roster'!$O$5:$O$2000,"Your premade")=0,"Solo",IF(AND(1+COUNTIFS('GM Roster'!$A$5:$A$2000,$A54,'GM Roster'!$O$5:$O$2000,"Your premade")&gt;=3,COUNTIFS('GM Roster'!$A$5:$A$2000,$A54,'GM Roster'!$O$5:$O$2000,"Your premade",'GM Roster'!$P$5:$P$2000,"Established")&gt;=2),"Yes","No"))</f>
        <v/>
      </c>
      <c r="AI54">
        <f>COUNTIFS('GM Roster'!$A$5:$A$2000,$A54,'GM Roster'!$O$5:$O$2000,"Your premade",'GM Roster'!$P$5:$P$2000,"Established")&amp;" of "&amp;COUNTIFS('GM Roster'!$A$5:$A$2000,$A54,'GM Roster'!$O$5:$O$2000,"Your premade")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Mossweaver — Arena Log</t>
        </is>
      </c>
    </row>
    <row r="2">
      <c r="A2" t="inlineStr">
        <is>
          <t>From REFlex unless noted (games 28-31 from scoreboards). Bracket inferred from team size and rating column. 4 older rows were not visible in the screenshots.</t>
        </is>
      </c>
    </row>
    <row r="3"/>
    <row r="4">
      <c r="A4" t="inlineStr">
        <is>
          <t>#</t>
        </is>
      </c>
      <c r="B4" t="inlineStr">
        <is>
          <t>Date</t>
        </is>
      </c>
      <c r="C4" t="inlineStr">
        <is>
          <t>Time</t>
        </is>
      </c>
      <c r="D4" t="inlineStr">
        <is>
          <t>Arena</t>
        </is>
      </c>
      <c r="E4" t="inlineStr">
        <is>
          <t>Bracket</t>
        </is>
      </c>
      <c r="F4" t="inlineStr">
        <is>
          <t>Result</t>
        </is>
      </c>
      <c r="G4" t="inlineStr">
        <is>
          <t>Shuffle rounds</t>
        </is>
      </c>
      <c r="H4" t="inlineStr">
        <is>
          <t>Team MMR</t>
        </is>
      </c>
      <c r="I4" t="inlineStr">
        <is>
          <t>Enemy MMR</t>
        </is>
      </c>
      <c r="J4" t="inlineStr">
        <is>
          <t>Duration</t>
        </is>
      </c>
      <c r="K4" t="inlineStr">
        <is>
          <t>Damage (M)</t>
        </is>
      </c>
      <c r="L4" t="inlineStr">
        <is>
          <t>Healing (M)</t>
        </is>
      </c>
      <c r="M4" t="inlineStr">
        <is>
          <t>Rating change</t>
        </is>
      </c>
      <c r="N4" t="inlineStr">
        <is>
          <t>Notes</t>
        </is>
      </c>
    </row>
    <row r="5">
      <c r="A5" t="n">
        <v>1</v>
      </c>
      <c r="B5" s="10" t="n">
        <v>47760</v>
      </c>
      <c r="C5" t="inlineStr">
        <is>
          <t>10:17 AM</t>
        </is>
      </c>
      <c r="D5" t="inlineStr">
        <is>
          <t>TR</t>
        </is>
      </c>
      <c r="E5" t="inlineStr">
        <is>
          <t>3v3 skirmish</t>
        </is>
      </c>
      <c r="F5" t="inlineStr">
        <is>
          <t>W</t>
        </is>
      </c>
      <c r="J5" s="11" t="n">
        <v>0.001689814814814815</v>
      </c>
      <c r="K5" s="5" t="n">
        <v>1.716387</v>
      </c>
      <c r="L5" s="5" t="n">
        <v>13.873767</v>
      </c>
    </row>
    <row r="6">
      <c r="A6" t="n">
        <v>2</v>
      </c>
      <c r="B6" s="10" t="n">
        <v>47764</v>
      </c>
      <c r="C6" t="inlineStr">
        <is>
          <t>06:54 PM</t>
        </is>
      </c>
      <c r="D6" t="inlineStr">
        <is>
          <t>CoC</t>
        </is>
      </c>
      <c r="E6" t="inlineStr">
        <is>
          <t>3v3</t>
        </is>
      </c>
      <c r="F6" t="inlineStr">
        <is>
          <t>W</t>
        </is>
      </c>
      <c r="H6" t="n">
        <v>1814</v>
      </c>
      <c r="I6" t="n">
        <v>1798</v>
      </c>
      <c r="J6" s="11" t="n">
        <v>0</v>
      </c>
      <c r="K6" s="5" t="n">
        <v>0</v>
      </c>
      <c r="L6" s="5" t="n">
        <v>0</v>
      </c>
      <c r="M6" s="12" t="n">
        <v>113</v>
      </c>
      <c r="N6" t="inlineStr">
        <is>
          <t>Synthetic example</t>
        </is>
      </c>
    </row>
    <row r="7">
      <c r="A7" t="n">
        <v>3</v>
      </c>
      <c r="B7" s="10" t="n">
        <v>47764</v>
      </c>
      <c r="C7" t="inlineStr">
        <is>
          <t>06:58 PM</t>
        </is>
      </c>
      <c r="D7" t="inlineStr">
        <is>
          <t>TA</t>
        </is>
      </c>
      <c r="E7" t="inlineStr">
        <is>
          <t>3v3</t>
        </is>
      </c>
      <c r="F7" t="inlineStr">
        <is>
          <t>L</t>
        </is>
      </c>
      <c r="H7" t="n">
        <v>1848</v>
      </c>
      <c r="I7" t="n">
        <v>1725</v>
      </c>
      <c r="J7" s="11" t="n">
        <v>0.001134259259259259</v>
      </c>
      <c r="K7" s="5" t="n">
        <v>1.209487</v>
      </c>
      <c r="L7" s="5" t="n">
        <v>14.175167</v>
      </c>
      <c r="M7" s="12" t="n">
        <v>0</v>
      </c>
    </row>
    <row r="8">
      <c r="A8" t="n">
        <v>4</v>
      </c>
      <c r="B8" s="10" t="n">
        <v>47764</v>
      </c>
      <c r="C8" t="inlineStr">
        <is>
          <t>07:01 PM</t>
        </is>
      </c>
      <c r="D8" t="inlineStr">
        <is>
          <t>EC</t>
        </is>
      </c>
      <c r="E8" t="inlineStr">
        <is>
          <t>3v3</t>
        </is>
      </c>
      <c r="F8" t="inlineStr">
        <is>
          <t>L</t>
        </is>
      </c>
      <c r="H8" t="n">
        <v>1800</v>
      </c>
      <c r="I8" t="n">
        <v>1847</v>
      </c>
      <c r="J8" s="11" t="n">
        <v>0.0008796296296296296</v>
      </c>
      <c r="K8" s="5" t="n">
        <v>1.338267</v>
      </c>
      <c r="L8" s="5" t="n">
        <v>12.969567</v>
      </c>
      <c r="M8" s="12" t="n">
        <v>0</v>
      </c>
    </row>
    <row r="9">
      <c r="A9" t="n">
        <v>5</v>
      </c>
      <c r="B9" s="10" t="n">
        <v>47764</v>
      </c>
      <c r="C9" t="inlineStr">
        <is>
          <t>07:16 PM</t>
        </is>
      </c>
      <c r="D9" t="inlineStr">
        <is>
          <t>HP</t>
        </is>
      </c>
      <c r="E9" t="inlineStr">
        <is>
          <t>3v3</t>
        </is>
      </c>
      <c r="F9" t="inlineStr">
        <is>
          <t>W</t>
        </is>
      </c>
      <c r="H9" t="n">
        <v>1776</v>
      </c>
      <c r="I9" t="n">
        <v>1861</v>
      </c>
      <c r="J9" s="11" t="n">
        <v>0.0008333333333333334</v>
      </c>
      <c r="K9" s="5" t="n">
        <v>1.223187</v>
      </c>
      <c r="L9" s="5" t="n">
        <v>10.558367</v>
      </c>
      <c r="M9" s="12" t="n">
        <v>113</v>
      </c>
    </row>
    <row r="10">
      <c r="A10" t="n">
        <v>6</v>
      </c>
      <c r="B10" s="10" t="n">
        <v>47764</v>
      </c>
      <c r="C10" t="inlineStr">
        <is>
          <t>07:20 PM</t>
        </is>
      </c>
      <c r="D10" t="inlineStr">
        <is>
          <t>NA</t>
        </is>
      </c>
      <c r="E10" t="inlineStr">
        <is>
          <t>3v3</t>
        </is>
      </c>
      <c r="F10" t="inlineStr">
        <is>
          <t>L</t>
        </is>
      </c>
      <c r="H10" t="n">
        <v>1868</v>
      </c>
      <c r="I10" t="n">
        <v>1939</v>
      </c>
      <c r="J10" s="11" t="n">
        <v>0.0009722222222222222</v>
      </c>
      <c r="K10" s="5" t="n">
        <v>1.913667</v>
      </c>
      <c r="L10" s="5" t="n">
        <v>13.051767</v>
      </c>
      <c r="M10" s="12" t="n">
        <v>0</v>
      </c>
    </row>
    <row r="11">
      <c r="A11" t="n">
        <v>7</v>
      </c>
      <c r="B11" s="10" t="n">
        <v>47764</v>
      </c>
      <c r="C11" t="inlineStr">
        <is>
          <t>07:23 PM</t>
        </is>
      </c>
      <c r="D11" t="inlineStr">
        <is>
          <t>AF</t>
        </is>
      </c>
      <c r="E11" t="inlineStr">
        <is>
          <t>3v3</t>
        </is>
      </c>
      <c r="F11" t="inlineStr">
        <is>
          <t>W</t>
        </is>
      </c>
      <c r="H11" t="n">
        <v>1846</v>
      </c>
      <c r="I11" t="n">
        <v>1976</v>
      </c>
      <c r="J11" s="11" t="n">
        <v>0.0008333333333333334</v>
      </c>
      <c r="K11" s="5" t="n">
        <v>1.699947</v>
      </c>
      <c r="L11" s="5" t="n">
        <v>11.626967</v>
      </c>
      <c r="M11" s="12" t="n">
        <v>113</v>
      </c>
    </row>
    <row r="12">
      <c r="A12" t="n">
        <v>8</v>
      </c>
      <c r="B12" s="10" t="n">
        <v>47764</v>
      </c>
      <c r="C12" t="inlineStr">
        <is>
          <t>07:28 PM</t>
        </is>
      </c>
      <c r="D12" t="inlineStr">
        <is>
          <t>NA</t>
        </is>
      </c>
      <c r="E12" t="inlineStr">
        <is>
          <t>3v3</t>
        </is>
      </c>
      <c r="F12" t="inlineStr">
        <is>
          <t>W</t>
        </is>
      </c>
      <c r="H12" t="n">
        <v>1912</v>
      </c>
      <c r="I12" t="n">
        <v>1891</v>
      </c>
      <c r="J12" s="11" t="n">
        <v>0.0006365740740740741</v>
      </c>
      <c r="K12" s="5" t="n">
        <v>1.083447</v>
      </c>
      <c r="L12" s="5" t="n">
        <v>7.544367</v>
      </c>
      <c r="M12" s="12" t="n">
        <v>113</v>
      </c>
    </row>
    <row r="13">
      <c r="A13" t="n">
        <v>9</v>
      </c>
      <c r="B13" s="10" t="n">
        <v>47764</v>
      </c>
      <c r="C13" t="inlineStr">
        <is>
          <t>07:32 PM</t>
        </is>
      </c>
      <c r="D13" t="inlineStr">
        <is>
          <t>ED</t>
        </is>
      </c>
      <c r="E13" t="inlineStr">
        <is>
          <t>3v3</t>
        </is>
      </c>
      <c r="F13" t="inlineStr">
        <is>
          <t>L</t>
        </is>
      </c>
      <c r="H13" t="n">
        <v>1941</v>
      </c>
      <c r="I13" t="n">
        <v>1803</v>
      </c>
      <c r="J13" s="11" t="n">
        <v>0.001412037037037037</v>
      </c>
      <c r="K13" s="5" t="n">
        <v>1.590347</v>
      </c>
      <c r="L13" s="5" t="n">
        <v>20.422367</v>
      </c>
      <c r="M13" s="12" t="n">
        <v>0</v>
      </c>
    </row>
    <row r="14">
      <c r="A14" t="n">
        <v>10</v>
      </c>
      <c r="B14" s="10" t="n">
        <v>47764</v>
      </c>
      <c r="C14" t="inlineStr">
        <is>
          <t>07:36 PM</t>
        </is>
      </c>
      <c r="D14" t="inlineStr">
        <is>
          <t>AF</t>
        </is>
      </c>
      <c r="E14" t="inlineStr">
        <is>
          <t>3v3</t>
        </is>
      </c>
      <c r="F14" t="inlineStr">
        <is>
          <t>W</t>
        </is>
      </c>
      <c r="H14" t="n">
        <v>1873</v>
      </c>
      <c r="I14" t="n">
        <v>1875</v>
      </c>
      <c r="J14" s="11" t="n">
        <v>0.001203703703703704</v>
      </c>
      <c r="K14" s="5" t="n">
        <v>1.825987</v>
      </c>
      <c r="L14" s="5" t="n">
        <v>28.313567</v>
      </c>
      <c r="M14" s="12" t="n">
        <v>113</v>
      </c>
    </row>
    <row r="15">
      <c r="A15" t="n">
        <v>11</v>
      </c>
      <c r="B15" s="10" t="n">
        <v>47764</v>
      </c>
      <c r="C15" t="inlineStr">
        <is>
          <t>07:41 PM</t>
        </is>
      </c>
      <c r="D15" t="inlineStr">
        <is>
          <t>NPG</t>
        </is>
      </c>
      <c r="E15" t="inlineStr">
        <is>
          <t>3v3</t>
        </is>
      </c>
      <c r="F15" t="inlineStr">
        <is>
          <t>L</t>
        </is>
      </c>
      <c r="H15" t="n">
        <v>1900</v>
      </c>
      <c r="I15" t="n">
        <v>1856</v>
      </c>
      <c r="J15" s="11" t="n">
        <v>0.0006944444444444445</v>
      </c>
      <c r="K15" s="5" t="n">
        <v>0</v>
      </c>
      <c r="L15" s="5" t="n">
        <v>12.065367</v>
      </c>
      <c r="M15" s="12" t="n">
        <v>0</v>
      </c>
    </row>
    <row r="16">
      <c r="A16" t="n">
        <v>12</v>
      </c>
      <c r="B16" s="10" t="n">
        <v>47764</v>
      </c>
      <c r="C16" t="inlineStr">
        <is>
          <t>07:47 PM</t>
        </is>
      </c>
      <c r="D16" t="inlineStr">
        <is>
          <t>TR</t>
        </is>
      </c>
      <c r="E16" t="inlineStr">
        <is>
          <t>3v3</t>
        </is>
      </c>
      <c r="F16" t="inlineStr">
        <is>
          <t>W</t>
        </is>
      </c>
      <c r="H16" t="n">
        <v>1859</v>
      </c>
      <c r="I16" t="n">
        <v>1834</v>
      </c>
      <c r="J16" s="11" t="n">
        <v>0.001134259259259259</v>
      </c>
      <c r="K16" s="5" t="n">
        <v>1.247847</v>
      </c>
      <c r="L16" s="5" t="n">
        <v>16.312367</v>
      </c>
      <c r="M16" s="12" t="n">
        <v>112</v>
      </c>
    </row>
    <row r="17">
      <c r="A17" t="n">
        <v>13</v>
      </c>
      <c r="B17" s="10" t="n">
        <v>47764</v>
      </c>
      <c r="C17" t="inlineStr">
        <is>
          <t>07:50 PM</t>
        </is>
      </c>
      <c r="D17" t="inlineStr">
        <is>
          <t>EC</t>
        </is>
      </c>
      <c r="E17" t="inlineStr">
        <is>
          <t>3v3</t>
        </is>
      </c>
      <c r="F17" t="inlineStr">
        <is>
          <t>L</t>
        </is>
      </c>
      <c r="H17" t="n">
        <v>1888</v>
      </c>
      <c r="I17" t="n">
        <v>1817</v>
      </c>
      <c r="J17" s="11" t="n">
        <v>0.0004861111111111111</v>
      </c>
      <c r="K17" s="5" t="n">
        <v>1.058787</v>
      </c>
      <c r="L17" s="5" t="n">
        <v>3.900167</v>
      </c>
      <c r="M17" s="12" t="n">
        <v>0</v>
      </c>
    </row>
    <row r="18">
      <c r="A18" t="n">
        <v>14</v>
      </c>
      <c r="B18" s="10" t="n">
        <v>47764</v>
      </c>
      <c r="C18" t="inlineStr">
        <is>
          <t>07:54 PM</t>
        </is>
      </c>
      <c r="D18" t="inlineStr">
        <is>
          <t>TR</t>
        </is>
      </c>
      <c r="E18" t="inlineStr">
        <is>
          <t>3v3</t>
        </is>
      </c>
      <c r="F18" t="inlineStr">
        <is>
          <t>W</t>
        </is>
      </c>
      <c r="H18" t="n">
        <v>1840</v>
      </c>
      <c r="I18" t="n">
        <v>1772</v>
      </c>
      <c r="J18" s="11" t="n">
        <v>0.001099537037037037</v>
      </c>
      <c r="K18" s="5" t="n">
        <v>1.341007</v>
      </c>
      <c r="L18" s="5" t="n">
        <v>20.915567</v>
      </c>
      <c r="M18" s="12" t="n">
        <v>111</v>
      </c>
    </row>
    <row r="19">
      <c r="A19" t="n">
        <v>15</v>
      </c>
      <c r="B19" s="10" t="n">
        <v>47767</v>
      </c>
      <c r="C19" t="inlineStr">
        <is>
          <t>01:35 PM</t>
        </is>
      </c>
      <c r="D19" t="inlineStr">
        <is>
          <t>CoC</t>
        </is>
      </c>
      <c r="E19" t="inlineStr">
        <is>
          <t>Solo Shuffle</t>
        </is>
      </c>
      <c r="G19" t="inlineStr">
        <is>
          <t>3-3 (as displayed)</t>
        </is>
      </c>
      <c r="H19" t="n">
        <v>1354</v>
      </c>
      <c r="I19" t="n">
        <v>1360</v>
      </c>
      <c r="K19" s="5" t="n">
        <v>12.144827</v>
      </c>
      <c r="L19" s="5" t="n">
        <v>140.269967</v>
      </c>
      <c r="M19" s="12" t="n">
        <v>69</v>
      </c>
      <c r="N19" t="inlineStr">
        <is>
          <t>Synthetic example</t>
        </is>
      </c>
    </row>
    <row r="20">
      <c r="A20" t="n">
        <v>16</v>
      </c>
      <c r="B20" s="10" t="n">
        <v>47767</v>
      </c>
      <c r="C20" t="inlineStr">
        <is>
          <t>01:52 PM</t>
        </is>
      </c>
      <c r="D20" t="inlineStr">
        <is>
          <t>NPG</t>
        </is>
      </c>
      <c r="E20" t="inlineStr">
        <is>
          <t>Solo Shuffle</t>
        </is>
      </c>
      <c r="G20" t="inlineStr">
        <is>
          <t>2-4 (as displayed)</t>
        </is>
      </c>
      <c r="H20" t="n">
        <v>1332</v>
      </c>
      <c r="I20" t="n">
        <v>1349</v>
      </c>
      <c r="K20" s="5" t="n">
        <v>5.568827</v>
      </c>
      <c r="L20" s="5" t="n">
        <v>88.94976699999999</v>
      </c>
      <c r="M20" s="12" t="n">
        <v>5</v>
      </c>
      <c r="N20" t="inlineStr">
        <is>
          <t>Synthetic example</t>
        </is>
      </c>
    </row>
    <row r="21">
      <c r="A21" t="n">
        <v>17</v>
      </c>
      <c r="B21" s="10" t="n">
        <v>47767</v>
      </c>
      <c r="C21" t="inlineStr">
        <is>
          <t>02:51 PM</t>
        </is>
      </c>
      <c r="D21" t="inlineStr">
        <is>
          <t>BRHA</t>
        </is>
      </c>
      <c r="E21" t="inlineStr">
        <is>
          <t>Solo Shuffle</t>
        </is>
      </c>
      <c r="G21" t="inlineStr">
        <is>
          <t>1-5</t>
        </is>
      </c>
      <c r="H21" t="n">
        <v>1309</v>
      </c>
      <c r="I21" t="n">
        <v>1336</v>
      </c>
      <c r="K21" s="5" t="n">
        <v>1.171127</v>
      </c>
      <c r="L21" s="5" t="n">
        <v>125.693167</v>
      </c>
      <c r="M21" s="12" t="n">
        <v>-31</v>
      </c>
    </row>
    <row r="22">
      <c r="A22" t="n">
        <v>18</v>
      </c>
      <c r="B22" s="10" t="n">
        <v>47767</v>
      </c>
      <c r="C22" t="inlineStr">
        <is>
          <t>03:11 PM</t>
        </is>
      </c>
      <c r="D22" t="inlineStr">
        <is>
          <t>M</t>
        </is>
      </c>
      <c r="E22" t="inlineStr">
        <is>
          <t>Solo Shuffle</t>
        </is>
      </c>
      <c r="G22" t="inlineStr">
        <is>
          <t>3-3</t>
        </is>
      </c>
      <c r="H22" t="n">
        <v>1260</v>
      </c>
      <c r="I22" t="n">
        <v>1246</v>
      </c>
      <c r="K22" s="5" t="n">
        <v>1.050567</v>
      </c>
      <c r="L22" s="5" t="n">
        <v>169.423567</v>
      </c>
      <c r="M22" s="12" t="n">
        <v>0</v>
      </c>
      <c r="N22" t="inlineStr">
        <is>
          <t>Synthetic example</t>
        </is>
      </c>
    </row>
    <row r="23">
      <c r="A23" t="n">
        <v>19</v>
      </c>
      <c r="B23" s="10" t="n">
        <v>47767</v>
      </c>
      <c r="C23" t="inlineStr">
        <is>
          <t>03:24 PM</t>
        </is>
      </c>
      <c r="D23" t="inlineStr">
        <is>
          <t>EC</t>
        </is>
      </c>
      <c r="E23" t="inlineStr">
        <is>
          <t>3v3 skirmish</t>
        </is>
      </c>
      <c r="F23" t="inlineStr">
        <is>
          <t>W</t>
        </is>
      </c>
      <c r="J23" s="11" t="n">
        <v>0.001678240740740741</v>
      </c>
      <c r="K23" s="5" t="n">
        <v>0.806707</v>
      </c>
      <c r="L23" s="5" t="n">
        <v>22.532167</v>
      </c>
    </row>
    <row r="24">
      <c r="A24" t="n">
        <v>20</v>
      </c>
      <c r="B24" s="10" t="n">
        <v>47767</v>
      </c>
      <c r="C24" t="inlineStr">
        <is>
          <t>03:37 PM</t>
        </is>
      </c>
      <c r="D24" t="inlineStr">
        <is>
          <t>TA</t>
        </is>
      </c>
      <c r="E24" t="inlineStr">
        <is>
          <t>3v3 skirmish</t>
        </is>
      </c>
      <c r="F24" t="inlineStr">
        <is>
          <t>W</t>
        </is>
      </c>
      <c r="J24" s="11" t="n">
        <v>0.005173611111111111</v>
      </c>
      <c r="K24" s="5" t="n">
        <v>2.543867</v>
      </c>
      <c r="L24" s="5" t="n">
        <v>72.427567</v>
      </c>
    </row>
    <row r="25">
      <c r="A25" t="n">
        <v>21</v>
      </c>
      <c r="B25" s="10" t="n">
        <v>47767</v>
      </c>
      <c r="C25" t="inlineStr">
        <is>
          <t>04:46 PM</t>
        </is>
      </c>
      <c r="D25" t="inlineStr">
        <is>
          <t>HP</t>
        </is>
      </c>
      <c r="E25" t="inlineStr">
        <is>
          <t>2v2</t>
        </is>
      </c>
      <c r="F25" t="inlineStr">
        <is>
          <t>W</t>
        </is>
      </c>
      <c r="H25" t="n">
        <v>1674</v>
      </c>
      <c r="I25" t="n">
        <v>1758</v>
      </c>
      <c r="J25" s="11" t="n">
        <v>0.001076388888888889</v>
      </c>
      <c r="K25" s="5" t="n">
        <v>1.253327</v>
      </c>
      <c r="L25" s="5" t="n">
        <v>11.435167</v>
      </c>
      <c r="M25" s="12" t="n">
        <v>113</v>
      </c>
    </row>
    <row r="26">
      <c r="A26" t="n">
        <v>22</v>
      </c>
      <c r="B26" s="10" t="n">
        <v>47767</v>
      </c>
      <c r="C26" t="inlineStr">
        <is>
          <t>05:11 PM</t>
        </is>
      </c>
      <c r="D26" t="inlineStr">
        <is>
          <t>CoC</t>
        </is>
      </c>
      <c r="E26" t="inlineStr">
        <is>
          <t>3v3</t>
        </is>
      </c>
      <c r="F26" t="inlineStr">
        <is>
          <t>L</t>
        </is>
      </c>
      <c r="H26" t="n">
        <v>1781</v>
      </c>
      <c r="I26" t="n">
        <v>2018</v>
      </c>
      <c r="J26" s="11" t="n">
        <v>0.001122685185185185</v>
      </c>
      <c r="K26" s="5" t="n">
        <v>0.245007</v>
      </c>
      <c r="L26" s="5" t="n">
        <v>20.038767</v>
      </c>
      <c r="M26" s="12" t="n">
        <v>0</v>
      </c>
    </row>
    <row r="27">
      <c r="A27" t="n">
        <v>23</v>
      </c>
      <c r="B27" s="10" t="n">
        <v>47767</v>
      </c>
      <c r="C27" t="inlineStr">
        <is>
          <t>05:15 PM</t>
        </is>
      </c>
      <c r="D27" t="inlineStr">
        <is>
          <t>HP</t>
        </is>
      </c>
      <c r="E27" t="inlineStr">
        <is>
          <t>2v2</t>
        </is>
      </c>
      <c r="F27" t="inlineStr">
        <is>
          <t>W</t>
        </is>
      </c>
      <c r="H27" t="n">
        <v>1782</v>
      </c>
      <c r="I27" t="n">
        <v>1187</v>
      </c>
      <c r="J27" s="11" t="n">
        <v>0.0009143518518518518</v>
      </c>
      <c r="K27" s="5" t="n">
        <v>0.902607</v>
      </c>
      <c r="L27" s="5" t="n">
        <v>8.969167000000001</v>
      </c>
      <c r="M27" s="12" t="n">
        <v>113</v>
      </c>
    </row>
    <row r="28">
      <c r="A28" t="n">
        <v>24</v>
      </c>
      <c r="B28" s="10" t="n">
        <v>47767</v>
      </c>
      <c r="C28" t="inlineStr">
        <is>
          <t>05:35 PM</t>
        </is>
      </c>
      <c r="D28" t="inlineStr">
        <is>
          <t>DS</t>
        </is>
      </c>
      <c r="E28" t="inlineStr">
        <is>
          <t>2v2</t>
        </is>
      </c>
      <c r="F28" t="inlineStr">
        <is>
          <t>W</t>
        </is>
      </c>
      <c r="H28" t="n">
        <v>1791</v>
      </c>
      <c r="I28" t="n">
        <v>1505</v>
      </c>
      <c r="J28" s="11" t="n">
        <v>0.003518518518518518</v>
      </c>
      <c r="K28" s="5" t="n">
        <v>1.088927</v>
      </c>
      <c r="L28" s="5" t="n">
        <v>20.778567</v>
      </c>
      <c r="M28" s="12" t="n">
        <v>113</v>
      </c>
    </row>
    <row r="29">
      <c r="A29" t="n">
        <v>25</v>
      </c>
      <c r="B29" s="10" t="n">
        <v>47767</v>
      </c>
      <c r="C29" t="inlineStr">
        <is>
          <t>05:46 PM</t>
        </is>
      </c>
      <c r="D29" t="inlineStr">
        <is>
          <t>CoC</t>
        </is>
      </c>
      <c r="E29" t="inlineStr">
        <is>
          <t>2v2</t>
        </is>
      </c>
      <c r="F29" t="inlineStr">
        <is>
          <t>L</t>
        </is>
      </c>
      <c r="H29" t="n">
        <v>1831</v>
      </c>
      <c r="I29" t="n">
        <v>1367</v>
      </c>
      <c r="J29" s="11" t="n">
        <v>0.002025462962962963</v>
      </c>
      <c r="K29" s="5" t="n">
        <v>0.392967</v>
      </c>
      <c r="L29" s="5" t="n">
        <v>19.572967</v>
      </c>
      <c r="M29" s="12" t="n">
        <v>0</v>
      </c>
    </row>
    <row r="30">
      <c r="A30" t="n">
        <v>26</v>
      </c>
      <c r="B30" s="10" t="n">
        <v>47767</v>
      </c>
      <c r="C30" t="inlineStr">
        <is>
          <t>05:51 PM</t>
        </is>
      </c>
      <c r="D30" t="inlineStr">
        <is>
          <t>MC</t>
        </is>
      </c>
      <c r="E30" t="inlineStr">
        <is>
          <t>2v2</t>
        </is>
      </c>
      <c r="F30" t="inlineStr">
        <is>
          <t>L</t>
        </is>
      </c>
      <c r="H30" t="n">
        <v>1519</v>
      </c>
      <c r="I30" t="n">
        <v>1752</v>
      </c>
      <c r="J30" s="11" t="n">
        <v>0.001435185185185185</v>
      </c>
      <c r="K30" s="5" t="n">
        <v>0.505307</v>
      </c>
      <c r="L30" s="5" t="n">
        <v>15.243767</v>
      </c>
      <c r="M30" s="12" t="n">
        <v>0</v>
      </c>
    </row>
    <row r="31">
      <c r="A31" t="n">
        <v>27</v>
      </c>
      <c r="B31" s="10" t="n">
        <v>47767</v>
      </c>
      <c r="C31" t="inlineStr">
        <is>
          <t>05:55 PM</t>
        </is>
      </c>
      <c r="D31" t="inlineStr">
        <is>
          <t>TA</t>
        </is>
      </c>
      <c r="E31" t="inlineStr">
        <is>
          <t>2v2</t>
        </is>
      </c>
      <c r="F31" t="inlineStr">
        <is>
          <t>L</t>
        </is>
      </c>
      <c r="H31" t="n">
        <v>1474</v>
      </c>
      <c r="I31" t="n">
        <v>1964</v>
      </c>
      <c r="J31" s="11" t="n">
        <v>0.001979166666666667</v>
      </c>
      <c r="K31" s="5" t="n">
        <v>0.198427</v>
      </c>
      <c r="L31" s="5" t="n">
        <v>13.024367</v>
      </c>
      <c r="M31" s="12" t="n">
        <v>0</v>
      </c>
    </row>
    <row r="32">
      <c r="A32" t="n">
        <v>28</v>
      </c>
      <c r="B32" s="10" t="n">
        <v>47777</v>
      </c>
      <c r="E32" t="inlineStr">
        <is>
          <t>3v3 skirmish</t>
        </is>
      </c>
      <c r="F32" t="inlineStr">
        <is>
          <t>W</t>
        </is>
      </c>
      <c r="K32" s="5" t="n">
        <v>0.365567</v>
      </c>
      <c r="L32" s="5" t="n">
        <v>8.585566999999999</v>
      </c>
      <c r="N32" t="inlineStr">
        <is>
          <t>Synthetic example</t>
        </is>
      </c>
    </row>
    <row r="33">
      <c r="A33" t="n">
        <v>29</v>
      </c>
      <c r="B33" s="10" t="n">
        <v>47777</v>
      </c>
      <c r="E33" t="inlineStr">
        <is>
          <t>2v2</t>
        </is>
      </c>
      <c r="F33" t="inlineStr">
        <is>
          <t>W</t>
        </is>
      </c>
      <c r="H33" t="n">
        <v>1249</v>
      </c>
      <c r="I33" t="n">
        <v>1203</v>
      </c>
      <c r="K33" s="5" t="n">
        <v>2.447967</v>
      </c>
      <c r="L33" s="5" t="n">
        <v>27.491567</v>
      </c>
      <c r="M33" s="12" t="n">
        <v>112</v>
      </c>
      <c r="N33" t="inlineStr">
        <is>
          <t>Synthetic example</t>
        </is>
      </c>
    </row>
    <row r="34">
      <c r="A34" t="n">
        <v>30</v>
      </c>
      <c r="B34" s="10" t="n">
        <v>47777</v>
      </c>
      <c r="E34" t="inlineStr">
        <is>
          <t>3v3 skirmish</t>
        </is>
      </c>
      <c r="F34" t="inlineStr">
        <is>
          <t>L</t>
        </is>
      </c>
      <c r="K34" s="5" t="n">
        <v>0.694367</v>
      </c>
      <c r="L34" s="5" t="n">
        <v>20.367567</v>
      </c>
      <c r="N34" t="inlineStr">
        <is>
          <t>Synthetic example</t>
        </is>
      </c>
    </row>
    <row r="35">
      <c r="A35" t="n">
        <v>31</v>
      </c>
      <c r="B35" s="10" t="n">
        <v>47777</v>
      </c>
      <c r="E35" t="inlineStr">
        <is>
          <t>2v2</t>
        </is>
      </c>
      <c r="F35" t="inlineStr">
        <is>
          <t>L</t>
        </is>
      </c>
      <c r="H35" t="n">
        <v>1391</v>
      </c>
      <c r="I35" t="n">
        <v>1443</v>
      </c>
      <c r="K35" s="5" t="n">
        <v>0.543667</v>
      </c>
      <c r="L35" s="5" t="n">
        <v>2.831567</v>
      </c>
      <c r="M35" s="12" t="n">
        <v>0</v>
      </c>
      <c r="N35" t="inlineStr">
        <is>
          <t>Synthetic example</t>
        </is>
      </c>
    </row>
    <row r="36"/>
    <row r="37">
      <c r="A37" t="inlineStr">
        <is>
          <t>Bracket summary</t>
        </is>
      </c>
    </row>
    <row r="38">
      <c r="A38" t="inlineStr">
        <is>
          <t>Bracket</t>
        </is>
      </c>
      <c r="B38" t="inlineStr">
        <is>
          <t>Games</t>
        </is>
      </c>
      <c r="C38" t="inlineStr">
        <is>
          <t>Wins</t>
        </is>
      </c>
      <c r="D38" t="inlineStr">
        <is>
          <t>Losses</t>
        </is>
      </c>
      <c r="E38" t="inlineStr">
        <is>
          <t>Win rate</t>
        </is>
      </c>
      <c r="F38" t="inlineStr">
        <is>
          <t>Avg healing (M)</t>
        </is>
      </c>
    </row>
    <row r="39">
      <c r="A39" t="inlineStr">
        <is>
          <t>2v2</t>
        </is>
      </c>
      <c r="B39">
        <f>COUNTIF($E$5:$E$35,A39)</f>
        <v/>
      </c>
      <c r="C39">
        <f>COUNTIFS($E$5:$E$35,A39,$F$5:$F$35,"W")</f>
        <v/>
      </c>
      <c r="D39">
        <f>COUNTIFS($E$5:$E$35,A39,$F$5:$F$35,"L")</f>
        <v/>
      </c>
      <c r="E39" s="6">
        <f>IF(C39+D39=0,"",C39/(C39+D39))</f>
        <v/>
      </c>
      <c r="F39" s="5">
        <f>IF(B39=0,"",AVERAGEIF($E$5:$E$35,A39,$L$5:$L$35))</f>
        <v/>
      </c>
    </row>
    <row r="40">
      <c r="A40" t="inlineStr">
        <is>
          <t>3v3</t>
        </is>
      </c>
      <c r="B40">
        <f>COUNTIF($E$5:$E$35,A40)</f>
        <v/>
      </c>
      <c r="C40">
        <f>COUNTIFS($E$5:$E$35,A40,$F$5:$F$35,"W")</f>
        <v/>
      </c>
      <c r="D40">
        <f>COUNTIFS($E$5:$E$35,A40,$F$5:$F$35,"L")</f>
        <v/>
      </c>
      <c r="E40" s="6">
        <f>IF(C40+D40=0,"",C40/(C40+D40))</f>
        <v/>
      </c>
      <c r="F40" s="5">
        <f>IF(B40=0,"",AVERAGEIF($E$5:$E$35,A40,$L$5:$L$35))</f>
        <v/>
      </c>
    </row>
    <row r="41">
      <c r="A41" t="inlineStr">
        <is>
          <t>3v3 skirmish</t>
        </is>
      </c>
      <c r="B41">
        <f>COUNTIF($E$5:$E$35,A41)</f>
        <v/>
      </c>
      <c r="C41">
        <f>COUNTIFS($E$5:$E$35,A41,$F$5:$F$35,"W")</f>
        <v/>
      </c>
      <c r="D41">
        <f>COUNTIFS($E$5:$E$35,A41,$F$5:$F$35,"L")</f>
        <v/>
      </c>
      <c r="E41" s="6">
        <f>IF(C41+D41=0,"",C41/(C41+D41))</f>
        <v/>
      </c>
      <c r="F41" s="5">
        <f>IF(B41=0,"",AVERAGEIF($E$5:$E$35,A41,$L$5:$L$35))</f>
        <v/>
      </c>
    </row>
    <row r="42">
      <c r="A42" t="inlineStr">
        <is>
          <t>Solo Shuffle</t>
        </is>
      </c>
      <c r="B42">
        <f>COUNTIF($E$5:$E$35,A42)</f>
        <v/>
      </c>
      <c r="C42">
        <f>COUNTIFS($E$5:$E$35,A42,$F$5:$F$35,"W")</f>
        <v/>
      </c>
      <c r="D42">
        <f>COUNTIFS($E$5:$E$35,A42,$F$5:$F$35,"L")</f>
        <v/>
      </c>
      <c r="E42" s="6">
        <f>IF(C42+D42=0,"",C42/(C42+D42))</f>
        <v/>
      </c>
      <c r="F42" s="5">
        <f>IF(B42=0,"",AVERAGEIF($E$5:$E$35,A42,$L$5:$L$35))</f>
        <v/>
      </c>
    </row>
    <row r="43"/>
    <row r="44">
      <c r="A44" t="inlineStr">
        <is>
          <t>Shuffle W/L is by rounds, so it's left out of the win rate. Season shuffle stats (from the PvP panel): 47 of 118 rounds won, best rating 1303.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Mossweaver – Match Rosters</t>
        </is>
      </c>
    </row>
    <row r="2">
      <c r="A2" t="inlineStr">
        <is>
          <t>Game # links to GM Battlegrounds. 'Times seen' counts appearances across both characters' rosters.</t>
        </is>
      </c>
    </row>
    <row r="3"/>
    <row r="4">
      <c r="A4" t="inlineStr">
        <is>
          <t>Game #</t>
        </is>
      </c>
      <c r="B4" t="inlineStr">
        <is>
          <t>Player</t>
        </is>
      </c>
      <c r="C4" t="inlineStr">
        <is>
          <t>Realm</t>
        </is>
      </c>
      <c r="D4" t="inlineStr">
        <is>
          <t>Faction</t>
        </is>
      </c>
      <c r="E4" t="inlineStr">
        <is>
          <t>KB</t>
        </is>
      </c>
      <c r="F4" t="inlineStr">
        <is>
          <t>HK</t>
        </is>
      </c>
      <c r="G4" t="inlineStr">
        <is>
          <t>Deaths</t>
        </is>
      </c>
      <c r="H4" t="inlineStr">
        <is>
          <t>Damage (M)</t>
        </is>
      </c>
      <c r="I4" t="inlineStr">
        <is>
          <t>Healing (M)</t>
        </is>
      </c>
      <c r="J4" t="inlineStr">
        <is>
          <t>Objective</t>
        </is>
      </c>
      <c r="K4" t="inlineStr">
        <is>
          <t>Notes</t>
        </is>
      </c>
      <c r="M4" t="inlineStr">
        <is>
          <t>Times seen</t>
        </is>
      </c>
      <c r="N4" t="inlineStr">
        <is>
          <t>Person</t>
        </is>
      </c>
      <c r="O4" t="inlineStr">
        <is>
          <t>Group</t>
        </is>
      </c>
      <c r="P4" t="inlineStr">
        <is>
          <t>Status</t>
        </is>
      </c>
    </row>
    <row r="5">
      <c r="A5" t="n">
        <v>41</v>
      </c>
      <c r="B5" t="inlineStr">
        <is>
          <t>Mossweaver</t>
        </is>
      </c>
      <c r="C5" t="inlineStr">
        <is>
          <t>exampleworld001</t>
        </is>
      </c>
      <c r="D5" t="inlineStr">
        <is>
          <t>Horde</t>
        </is>
      </c>
      <c r="E5" t="n">
        <v>4</v>
      </c>
      <c r="F5" t="n">
        <v>2</v>
      </c>
      <c r="G5" t="n">
        <v>10</v>
      </c>
      <c r="H5" s="5" t="n">
        <v>1.979427</v>
      </c>
      <c r="I5" s="5" t="n">
        <v>110.294367</v>
      </c>
      <c r="J5" t="inlineStr">
        <is>
          <t>Carts captured: 0</t>
        </is>
      </c>
      <c r="M5">
        <f>COUNTIFS($B$5:$B$2000,B5,$C$5:$C$2000,C5)+COUNTIFS('PG Roster'!$B$5:$B$2000,B5,'PG Roster'!$C$5:$C$2000,C5)</f>
        <v/>
      </c>
      <c r="N5">
        <f>IFERROR(INDEX('Known Players'!$C$5:$C$500,MATCH(B5&amp;"|"&amp;C5,'Known Players'!$F$5:$F$500,0)),"")</f>
        <v/>
      </c>
      <c r="O5">
        <f>IFERROR(INDEX('Known Players'!$D$5:$D$500,MATCH(B5&amp;"|"&amp;C5,'Known Players'!$F$5:$F$500,0)),"")</f>
        <v/>
      </c>
      <c r="P5">
        <f>IFERROR(INDEX('Known Players'!$G$5:$G$500,MATCH(B5&amp;"|"&amp;C5,'Known Players'!$F$5:$F$500,0)),"")</f>
        <v/>
      </c>
    </row>
    <row r="6">
      <c r="A6" t="n">
        <v>41</v>
      </c>
      <c r="B6" t="inlineStr">
        <is>
          <t>Player0114</t>
        </is>
      </c>
      <c r="C6" t="inlineStr">
        <is>
          <t>ExampleWorld005</t>
        </is>
      </c>
      <c r="D6" t="inlineStr">
        <is>
          <t>Alliance</t>
        </is>
      </c>
      <c r="E6" t="n">
        <v>10</v>
      </c>
      <c r="F6" t="n">
        <v>8</v>
      </c>
      <c r="G6" t="n">
        <v>4</v>
      </c>
      <c r="H6" s="5" t="n">
        <v>10.774827</v>
      </c>
      <c r="I6" s="5" t="n">
        <v>82.291567</v>
      </c>
      <c r="J6" t="inlineStr">
        <is>
          <t>Carts captured: 1</t>
        </is>
      </c>
      <c r="M6">
        <f>COUNTIFS($B$5:$B$2000,B6,$C$5:$C$2000,C6)+COUNTIFS('PG Roster'!$B$5:$B$2000,B6,'PG Roster'!$C$5:$C$2000,C6)</f>
        <v/>
      </c>
      <c r="N6">
        <f>IFERROR(INDEX('Known Players'!$C$5:$C$500,MATCH(B6&amp;"|"&amp;C6,'Known Players'!$F$5:$F$500,0)),"")</f>
        <v/>
      </c>
      <c r="O6">
        <f>IFERROR(INDEX('Known Players'!$D$5:$D$500,MATCH(B6&amp;"|"&amp;C6,'Known Players'!$F$5:$F$500,0)),"")</f>
        <v/>
      </c>
      <c r="P6">
        <f>IFERROR(INDEX('Known Players'!$G$5:$G$500,MATCH(B6&amp;"|"&amp;C6,'Known Players'!$F$5:$F$500,0)),"")</f>
        <v/>
      </c>
    </row>
    <row r="7">
      <c r="A7" t="n">
        <v>41</v>
      </c>
      <c r="B7" t="inlineStr">
        <is>
          <t>Player0386</t>
        </is>
      </c>
      <c r="C7" t="inlineStr">
        <is>
          <t>ExampleWorld136</t>
        </is>
      </c>
      <c r="D7" t="inlineStr">
        <is>
          <t>Horde</t>
        </is>
      </c>
      <c r="E7" t="n">
        <v>4</v>
      </c>
      <c r="F7" t="n">
        <v>6</v>
      </c>
      <c r="G7" t="n">
        <v>7</v>
      </c>
      <c r="H7" s="5" t="n">
        <v>3.924827</v>
      </c>
      <c r="I7" s="5" t="n">
        <v>68.591567</v>
      </c>
      <c r="J7" t="inlineStr">
        <is>
          <t>Carts captured: 1</t>
        </is>
      </c>
      <c r="M7">
        <f>COUNTIFS($B$5:$B$2000,B7,$C$5:$C$2000,C7)+COUNTIFS('PG Roster'!$B$5:$B$2000,B7,'PG Roster'!$C$5:$C$2000,C7)</f>
        <v/>
      </c>
      <c r="N7">
        <f>IFERROR(INDEX('Known Players'!$C$5:$C$500,MATCH(B7&amp;"|"&amp;C7,'Known Players'!$F$5:$F$500,0)),"")</f>
        <v/>
      </c>
      <c r="O7">
        <f>IFERROR(INDEX('Known Players'!$D$5:$D$500,MATCH(B7&amp;"|"&amp;C7,'Known Players'!$F$5:$F$500,0)),"")</f>
        <v/>
      </c>
      <c r="P7">
        <f>IFERROR(INDEX('Known Players'!$G$5:$G$500,MATCH(B7&amp;"|"&amp;C7,'Known Players'!$F$5:$F$500,0)),"")</f>
        <v/>
      </c>
    </row>
    <row r="8">
      <c r="A8" t="n">
        <v>41</v>
      </c>
      <c r="B8" t="inlineStr">
        <is>
          <t>Player0691</t>
        </is>
      </c>
      <c r="C8" t="inlineStr">
        <is>
          <t>SandboxRealm</t>
        </is>
      </c>
      <c r="D8" t="inlineStr">
        <is>
          <t>Alliance</t>
        </is>
      </c>
      <c r="E8" t="n">
        <v>0</v>
      </c>
      <c r="F8" t="n">
        <v>5</v>
      </c>
      <c r="G8" t="n">
        <v>10</v>
      </c>
      <c r="H8" s="5" t="n">
        <v>2.606887</v>
      </c>
      <c r="I8" s="5" t="n">
        <v>49.411567</v>
      </c>
      <c r="J8" t="inlineStr">
        <is>
          <t>Carts captured: 1</t>
        </is>
      </c>
      <c r="M8">
        <f>COUNTIFS($B$5:$B$2000,B8,$C$5:$C$2000,C8)+COUNTIFS('PG Roster'!$B$5:$B$2000,B8,'PG Roster'!$C$5:$C$2000,C8)</f>
        <v/>
      </c>
      <c r="N8">
        <f>IFERROR(INDEX('Known Players'!$C$5:$C$500,MATCH(B8&amp;"|"&amp;C8,'Known Players'!$F$5:$F$500,0)),"")</f>
        <v/>
      </c>
      <c r="O8">
        <f>IFERROR(INDEX('Known Players'!$D$5:$D$500,MATCH(B8&amp;"|"&amp;C8,'Known Players'!$F$5:$F$500,0)),"")</f>
        <v/>
      </c>
      <c r="P8">
        <f>IFERROR(INDEX('Known Players'!$G$5:$G$500,MATCH(B8&amp;"|"&amp;C8,'Known Players'!$F$5:$F$500,0)),"")</f>
        <v/>
      </c>
    </row>
    <row r="9">
      <c r="A9" t="n">
        <v>41</v>
      </c>
      <c r="B9" t="inlineStr">
        <is>
          <t>Player0210</t>
        </is>
      </c>
      <c r="C9" t="inlineStr">
        <is>
          <t>ExampleWorld067</t>
        </is>
      </c>
      <c r="D9" t="inlineStr">
        <is>
          <t>Alliance</t>
        </is>
      </c>
      <c r="E9" t="n">
        <v>0</v>
      </c>
      <c r="F9" t="n">
        <v>2</v>
      </c>
      <c r="G9" t="n">
        <v>5</v>
      </c>
      <c r="H9" s="5" t="n">
        <v>3.650827</v>
      </c>
      <c r="I9" s="5" t="n">
        <v>38.451567</v>
      </c>
      <c r="M9">
        <f>COUNTIFS($B$5:$B$2000,B9,$C$5:$C$2000,C9)+COUNTIFS('PG Roster'!$B$5:$B$2000,B9,'PG Roster'!$C$5:$C$2000,C9)</f>
        <v/>
      </c>
      <c r="N9">
        <f>IFERROR(INDEX('Known Players'!$C$5:$C$500,MATCH(B9&amp;"|"&amp;C9,'Known Players'!$F$5:$F$500,0)),"")</f>
        <v/>
      </c>
      <c r="O9">
        <f>IFERROR(INDEX('Known Players'!$D$5:$D$500,MATCH(B9&amp;"|"&amp;C9,'Known Players'!$F$5:$F$500,0)),"")</f>
        <v/>
      </c>
      <c r="P9">
        <f>IFERROR(INDEX('Known Players'!$G$5:$G$500,MATCH(B9&amp;"|"&amp;C9,'Known Players'!$F$5:$F$500,0)),"")</f>
        <v/>
      </c>
    </row>
    <row r="10">
      <c r="A10" t="n">
        <v>41</v>
      </c>
      <c r="B10" t="inlineStr">
        <is>
          <t>Player0105</t>
        </is>
      </c>
      <c r="C10" t="inlineStr">
        <is>
          <t>ExampleWorld103</t>
        </is>
      </c>
      <c r="D10" t="inlineStr">
        <is>
          <t>Horde</t>
        </is>
      </c>
      <c r="E10" t="n">
        <v>0</v>
      </c>
      <c r="F10" t="n">
        <v>8</v>
      </c>
      <c r="G10" t="n">
        <v>4</v>
      </c>
      <c r="H10" s="5" t="n">
        <v>10.500827</v>
      </c>
      <c r="I10" s="5" t="n">
        <v>35.711567</v>
      </c>
      <c r="J10" t="inlineStr">
        <is>
          <t>Carts captured: 2</t>
        </is>
      </c>
      <c r="M10">
        <f>COUNTIFS($B$5:$B$2000,B10,$C$5:$C$2000,C10)+COUNTIFS('PG Roster'!$B$5:$B$2000,B10,'PG Roster'!$C$5:$C$2000,C10)</f>
        <v/>
      </c>
      <c r="N10">
        <f>IFERROR(INDEX('Known Players'!$C$5:$C$500,MATCH(B10&amp;"|"&amp;C10,'Known Players'!$F$5:$F$500,0)),"")</f>
        <v/>
      </c>
      <c r="O10">
        <f>IFERROR(INDEX('Known Players'!$D$5:$D$500,MATCH(B10&amp;"|"&amp;C10,'Known Players'!$F$5:$F$500,0)),"")</f>
        <v/>
      </c>
      <c r="P10">
        <f>IFERROR(INDEX('Known Players'!$G$5:$G$500,MATCH(B10&amp;"|"&amp;C10,'Known Players'!$F$5:$F$500,0)),"")</f>
        <v/>
      </c>
    </row>
    <row r="11">
      <c r="A11" t="n">
        <v>41</v>
      </c>
      <c r="B11" t="inlineStr">
        <is>
          <t>Player0749</t>
        </is>
      </c>
      <c r="C11" t="inlineStr">
        <is>
          <t>SandboxRealm</t>
        </is>
      </c>
      <c r="D11" t="inlineStr">
        <is>
          <t>Horde</t>
        </is>
      </c>
      <c r="E11" t="n">
        <v>4</v>
      </c>
      <c r="F11" t="n">
        <v>6</v>
      </c>
      <c r="G11" t="n">
        <v>2</v>
      </c>
      <c r="H11" s="5" t="n">
        <v>35.708827</v>
      </c>
      <c r="I11" s="5" t="n">
        <v>27.491567</v>
      </c>
      <c r="J11" t="inlineStr">
        <is>
          <t>Carts captured: 1</t>
        </is>
      </c>
      <c r="M11">
        <f>COUNTIFS($B$5:$B$2000,B11,$C$5:$C$2000,C11)+COUNTIFS('PG Roster'!$B$5:$B$2000,B11,'PG Roster'!$C$5:$C$2000,C11)</f>
        <v/>
      </c>
      <c r="N11">
        <f>IFERROR(INDEX('Known Players'!$C$5:$C$500,MATCH(B11&amp;"|"&amp;C11,'Known Players'!$F$5:$F$500,0)),"")</f>
        <v/>
      </c>
      <c r="O11">
        <f>IFERROR(INDEX('Known Players'!$D$5:$D$500,MATCH(B11&amp;"|"&amp;C11,'Known Players'!$F$5:$F$500,0)),"")</f>
        <v/>
      </c>
      <c r="P11">
        <f>IFERROR(INDEX('Known Players'!$G$5:$G$500,MATCH(B11&amp;"|"&amp;C11,'Known Players'!$F$5:$F$500,0)),"")</f>
        <v/>
      </c>
    </row>
    <row r="12">
      <c r="A12" t="n">
        <v>41</v>
      </c>
      <c r="B12" t="inlineStr">
        <is>
          <t>Snowflare</t>
        </is>
      </c>
      <c r="C12" t="inlineStr">
        <is>
          <t>SandboxRealm</t>
        </is>
      </c>
      <c r="D12" t="inlineStr">
        <is>
          <t>Horde</t>
        </is>
      </c>
      <c r="E12" t="n">
        <v>10</v>
      </c>
      <c r="F12" t="n">
        <v>0</v>
      </c>
      <c r="G12" t="n">
        <v>10</v>
      </c>
      <c r="H12" s="5" t="n">
        <v>54.888827</v>
      </c>
      <c r="I12" s="5" t="n">
        <v>20.915567</v>
      </c>
      <c r="M12">
        <f>COUNTIFS($B$5:$B$2000,B12,$C$5:$C$2000,C12)+COUNTIFS('PG Roster'!$B$5:$B$2000,B12,'PG Roster'!$C$5:$C$2000,C12)</f>
        <v/>
      </c>
      <c r="N12">
        <f>IFERROR(INDEX('Known Players'!$C$5:$C$500,MATCH(B12&amp;"|"&amp;C12,'Known Players'!$F$5:$F$500,0)),"")</f>
        <v/>
      </c>
      <c r="O12">
        <f>IFERROR(INDEX('Known Players'!$D$5:$D$500,MATCH(B12&amp;"|"&amp;C12,'Known Players'!$F$5:$F$500,0)),"")</f>
        <v/>
      </c>
      <c r="P12">
        <f>IFERROR(INDEX('Known Players'!$G$5:$G$500,MATCH(B12&amp;"|"&amp;C12,'Known Players'!$F$5:$F$500,0)),"")</f>
        <v/>
      </c>
    </row>
    <row r="13">
      <c r="A13" t="n">
        <v>41</v>
      </c>
      <c r="B13" t="inlineStr">
        <is>
          <t>Player0852</t>
        </is>
      </c>
      <c r="C13" t="inlineStr">
        <is>
          <t>ExampleWorld005</t>
        </is>
      </c>
      <c r="D13" t="inlineStr">
        <is>
          <t>Alliance</t>
        </is>
      </c>
      <c r="E13" t="n">
        <v>2</v>
      </c>
      <c r="F13" t="n">
        <v>2</v>
      </c>
      <c r="G13" t="n">
        <v>4</v>
      </c>
      <c r="H13" s="5" t="n">
        <v>74.068827</v>
      </c>
      <c r="I13" s="5" t="n">
        <v>16.805567</v>
      </c>
      <c r="M13">
        <f>COUNTIFS($B$5:$B$2000,B13,$C$5:$C$2000,C13)+COUNTIFS('PG Roster'!$B$5:$B$2000,B13,'PG Roster'!$C$5:$C$2000,C13)</f>
        <v/>
      </c>
      <c r="N13">
        <f>IFERROR(INDEX('Known Players'!$C$5:$C$500,MATCH(B13&amp;"|"&amp;C13,'Known Players'!$F$5:$F$500,0)),"")</f>
        <v/>
      </c>
      <c r="O13">
        <f>IFERROR(INDEX('Known Players'!$D$5:$D$500,MATCH(B13&amp;"|"&amp;C13,'Known Players'!$F$5:$F$500,0)),"")</f>
        <v/>
      </c>
      <c r="P13">
        <f>IFERROR(INDEX('Known Players'!$G$5:$G$500,MATCH(B13&amp;"|"&amp;C13,'Known Players'!$F$5:$F$500,0)),"")</f>
        <v/>
      </c>
    </row>
    <row r="14">
      <c r="A14" t="n">
        <v>41</v>
      </c>
      <c r="B14" t="inlineStr">
        <is>
          <t>Player0032</t>
        </is>
      </c>
      <c r="C14" t="inlineStr">
        <is>
          <t>ExampleWorld143</t>
        </is>
      </c>
      <c r="D14" t="inlineStr">
        <is>
          <t>Horde</t>
        </is>
      </c>
      <c r="E14" t="n">
        <v>10</v>
      </c>
      <c r="F14" t="n">
        <v>0</v>
      </c>
      <c r="G14" t="n">
        <v>10</v>
      </c>
      <c r="H14" s="5" t="n">
        <v>35.708827</v>
      </c>
      <c r="I14" s="5" t="n">
        <v>16.531567</v>
      </c>
      <c r="J14" t="inlineStr">
        <is>
          <t>Carts captured: 1</t>
        </is>
      </c>
      <c r="M14">
        <f>COUNTIFS($B$5:$B$2000,B14,$C$5:$C$2000,C14)+COUNTIFS('PG Roster'!$B$5:$B$2000,B14,'PG Roster'!$C$5:$C$2000,C14)</f>
        <v/>
      </c>
      <c r="N14">
        <f>IFERROR(INDEX('Known Players'!$C$5:$C$500,MATCH(B14&amp;"|"&amp;C14,'Known Players'!$F$5:$F$500,0)),"")</f>
        <v/>
      </c>
      <c r="O14">
        <f>IFERROR(INDEX('Known Players'!$D$5:$D$500,MATCH(B14&amp;"|"&amp;C14,'Known Players'!$F$5:$F$500,0)),"")</f>
        <v/>
      </c>
      <c r="P14">
        <f>IFERROR(INDEX('Known Players'!$G$5:$G$500,MATCH(B14&amp;"|"&amp;C14,'Known Players'!$F$5:$F$500,0)),"")</f>
        <v/>
      </c>
    </row>
    <row r="15">
      <c r="A15" t="n">
        <v>41</v>
      </c>
      <c r="B15" t="inlineStr">
        <is>
          <t>Player0024</t>
        </is>
      </c>
      <c r="C15" t="inlineStr">
        <is>
          <t>ExampleWorld164</t>
        </is>
      </c>
      <c r="D15" t="inlineStr">
        <is>
          <t>Alliance</t>
        </is>
      </c>
      <c r="E15" t="n">
        <v>0</v>
      </c>
      <c r="F15" t="n">
        <v>5</v>
      </c>
      <c r="G15" t="n">
        <v>10</v>
      </c>
      <c r="H15" s="5" t="n">
        <v>23.652827</v>
      </c>
      <c r="I15" s="5" t="n">
        <v>15.435567</v>
      </c>
      <c r="M15">
        <f>COUNTIFS($B$5:$B$2000,B15,$C$5:$C$2000,C15)+COUNTIFS('PG Roster'!$B$5:$B$2000,B15,'PG Roster'!$C$5:$C$2000,C15)</f>
        <v/>
      </c>
      <c r="N15">
        <f>IFERROR(INDEX('Known Players'!$C$5:$C$500,MATCH(B15&amp;"|"&amp;C15,'Known Players'!$F$5:$F$500,0)),"")</f>
        <v/>
      </c>
      <c r="O15">
        <f>IFERROR(INDEX('Known Players'!$D$5:$D$500,MATCH(B15&amp;"|"&amp;C15,'Known Players'!$F$5:$F$500,0)),"")</f>
        <v/>
      </c>
      <c r="P15">
        <f>IFERROR(INDEX('Known Players'!$G$5:$G$500,MATCH(B15&amp;"|"&amp;C15,'Known Players'!$F$5:$F$500,0)),"")</f>
        <v/>
      </c>
    </row>
    <row r="16">
      <c r="A16" t="n">
        <v>41</v>
      </c>
      <c r="B16" t="inlineStr">
        <is>
          <t>Player0884</t>
        </is>
      </c>
      <c r="C16" t="inlineStr">
        <is>
          <t>ExampleWorld035</t>
        </is>
      </c>
      <c r="D16" t="inlineStr">
        <is>
          <t>Horde</t>
        </is>
      </c>
      <c r="E16" t="n">
        <v>5</v>
      </c>
      <c r="F16" t="n">
        <v>8</v>
      </c>
      <c r="G16" t="n">
        <v>7</v>
      </c>
      <c r="H16" s="5" t="n">
        <v>35.708827</v>
      </c>
      <c r="I16" s="5" t="n">
        <v>14.887567</v>
      </c>
      <c r="J16" t="inlineStr">
        <is>
          <t>Carts captured: 1</t>
        </is>
      </c>
      <c r="M16">
        <f>COUNTIFS($B$5:$B$2000,B16,$C$5:$C$2000,C16)+COUNTIFS('PG Roster'!$B$5:$B$2000,B16,'PG Roster'!$C$5:$C$2000,C16)</f>
        <v/>
      </c>
      <c r="N16">
        <f>IFERROR(INDEX('Known Players'!$C$5:$C$500,MATCH(B16&amp;"|"&amp;C16,'Known Players'!$F$5:$F$500,0)),"")</f>
        <v/>
      </c>
      <c r="O16">
        <f>IFERROR(INDEX('Known Players'!$D$5:$D$500,MATCH(B16&amp;"|"&amp;C16,'Known Players'!$F$5:$F$500,0)),"")</f>
        <v/>
      </c>
      <c r="P16">
        <f>IFERROR(INDEX('Known Players'!$G$5:$G$500,MATCH(B16&amp;"|"&amp;C16,'Known Players'!$F$5:$F$500,0)),"")</f>
        <v/>
      </c>
    </row>
    <row r="17">
      <c r="A17" t="n">
        <v>41</v>
      </c>
      <c r="B17" t="inlineStr">
        <is>
          <t>Player0157</t>
        </is>
      </c>
      <c r="C17" t="inlineStr">
        <is>
          <t>ExampleWorld165</t>
        </is>
      </c>
      <c r="D17" t="inlineStr">
        <is>
          <t>Horde</t>
        </is>
      </c>
      <c r="E17" t="n">
        <v>4</v>
      </c>
      <c r="F17" t="n">
        <v>7</v>
      </c>
      <c r="G17" t="n">
        <v>0</v>
      </c>
      <c r="H17" s="5" t="n">
        <v>25.844827</v>
      </c>
      <c r="I17" s="5" t="n">
        <v>14.613567</v>
      </c>
      <c r="J17" t="inlineStr">
        <is>
          <t>Carts captured: 1</t>
        </is>
      </c>
      <c r="M17">
        <f>COUNTIFS($B$5:$B$2000,B17,$C$5:$C$2000,C17)+COUNTIFS('PG Roster'!$B$5:$B$2000,B17,'PG Roster'!$C$5:$C$2000,C17)</f>
        <v/>
      </c>
      <c r="N17">
        <f>IFERROR(INDEX('Known Players'!$C$5:$C$500,MATCH(B17&amp;"|"&amp;C17,'Known Players'!$F$5:$F$500,0)),"")</f>
        <v/>
      </c>
      <c r="O17">
        <f>IFERROR(INDEX('Known Players'!$D$5:$D$500,MATCH(B17&amp;"|"&amp;C17,'Known Players'!$F$5:$F$500,0)),"")</f>
        <v/>
      </c>
      <c r="P17">
        <f>IFERROR(INDEX('Known Players'!$G$5:$G$500,MATCH(B17&amp;"|"&amp;C17,'Known Players'!$F$5:$F$500,0)),"")</f>
        <v/>
      </c>
    </row>
    <row r="18">
      <c r="A18" t="n">
        <v>41</v>
      </c>
      <c r="B18" t="inlineStr">
        <is>
          <t>Player0132</t>
        </is>
      </c>
      <c r="C18" t="inlineStr">
        <is>
          <t>ExampleWorld113</t>
        </is>
      </c>
      <c r="D18" t="inlineStr">
        <is>
          <t>Alliance</t>
        </is>
      </c>
      <c r="E18" t="n">
        <v>4</v>
      </c>
      <c r="F18" t="n">
        <v>3</v>
      </c>
      <c r="G18" t="n">
        <v>10</v>
      </c>
      <c r="H18" s="5" t="n">
        <v>60.368827</v>
      </c>
      <c r="I18" s="5" t="n">
        <v>13.791567</v>
      </c>
      <c r="M18">
        <f>COUNTIFS($B$5:$B$2000,B18,$C$5:$C$2000,C18)+COUNTIFS('PG Roster'!$B$5:$B$2000,B18,'PG Roster'!$C$5:$C$2000,C18)</f>
        <v/>
      </c>
      <c r="N18">
        <f>IFERROR(INDEX('Known Players'!$C$5:$C$500,MATCH(B18&amp;"|"&amp;C18,'Known Players'!$F$5:$F$500,0)),"")</f>
        <v/>
      </c>
      <c r="O18">
        <f>IFERROR(INDEX('Known Players'!$D$5:$D$500,MATCH(B18&amp;"|"&amp;C18,'Known Players'!$F$5:$F$500,0)),"")</f>
        <v/>
      </c>
      <c r="P18">
        <f>IFERROR(INDEX('Known Players'!$G$5:$G$500,MATCH(B18&amp;"|"&amp;C18,'Known Players'!$F$5:$F$500,0)),"")</f>
        <v/>
      </c>
    </row>
    <row r="19">
      <c r="A19" t="n">
        <v>41</v>
      </c>
      <c r="B19" t="inlineStr">
        <is>
          <t>Emberguard</t>
        </is>
      </c>
      <c r="C19" t="inlineStr">
        <is>
          <t>SandboxRealm</t>
        </is>
      </c>
      <c r="D19" t="inlineStr">
        <is>
          <t>Horde</t>
        </is>
      </c>
      <c r="E19" t="n">
        <v>1</v>
      </c>
      <c r="F19" t="n">
        <v>8</v>
      </c>
      <c r="G19" t="n">
        <v>4</v>
      </c>
      <c r="H19" s="5" t="n">
        <v>65.848827</v>
      </c>
      <c r="I19" s="5" t="n">
        <v>12.969567</v>
      </c>
      <c r="M19">
        <f>COUNTIFS($B$5:$B$2000,B19,$C$5:$C$2000,C19)+COUNTIFS('PG Roster'!$B$5:$B$2000,B19,'PG Roster'!$C$5:$C$2000,C19)</f>
        <v/>
      </c>
      <c r="N19">
        <f>IFERROR(INDEX('Known Players'!$C$5:$C$500,MATCH(B19&amp;"|"&amp;C19,'Known Players'!$F$5:$F$500,0)),"")</f>
        <v/>
      </c>
      <c r="O19">
        <f>IFERROR(INDEX('Known Players'!$D$5:$D$500,MATCH(B19&amp;"|"&amp;C19,'Known Players'!$F$5:$F$500,0)),"")</f>
        <v/>
      </c>
      <c r="P19">
        <f>IFERROR(INDEX('Known Players'!$G$5:$G$500,MATCH(B19&amp;"|"&amp;C19,'Known Players'!$F$5:$F$500,0)),"")</f>
        <v/>
      </c>
    </row>
    <row r="20">
      <c r="A20" t="n">
        <v>41</v>
      </c>
      <c r="B20" t="inlineStr">
        <is>
          <t>Player0917</t>
        </is>
      </c>
      <c r="C20" t="inlineStr">
        <is>
          <t>ExampleWorld017</t>
        </is>
      </c>
      <c r="D20" t="inlineStr">
        <is>
          <t>Horde</t>
        </is>
      </c>
      <c r="E20" t="n">
        <v>10</v>
      </c>
      <c r="F20" t="n">
        <v>10</v>
      </c>
      <c r="G20" t="n">
        <v>7</v>
      </c>
      <c r="H20" s="5" t="n">
        <v>38.448827</v>
      </c>
      <c r="I20" s="5" t="n">
        <v>12.969567</v>
      </c>
      <c r="M20">
        <f>COUNTIFS($B$5:$B$2000,B20,$C$5:$C$2000,C20)+COUNTIFS('PG Roster'!$B$5:$B$2000,B20,'PG Roster'!$C$5:$C$2000,C20)</f>
        <v/>
      </c>
      <c r="N20">
        <f>IFERROR(INDEX('Known Players'!$C$5:$C$500,MATCH(B20&amp;"|"&amp;C20,'Known Players'!$F$5:$F$500,0)),"")</f>
        <v/>
      </c>
      <c r="O20">
        <f>IFERROR(INDEX('Known Players'!$D$5:$D$500,MATCH(B20&amp;"|"&amp;C20,'Known Players'!$F$5:$F$500,0)),"")</f>
        <v/>
      </c>
      <c r="P20">
        <f>IFERROR(INDEX('Known Players'!$G$5:$G$500,MATCH(B20&amp;"|"&amp;C20,'Known Players'!$F$5:$F$500,0)),"")</f>
        <v/>
      </c>
    </row>
    <row r="21">
      <c r="A21" t="n">
        <v>41</v>
      </c>
      <c r="B21" t="inlineStr">
        <is>
          <t>Player0828</t>
        </is>
      </c>
      <c r="C21" t="inlineStr">
        <is>
          <t>ExampleWorld179</t>
        </is>
      </c>
      <c r="D21" t="inlineStr">
        <is>
          <t>Alliance</t>
        </is>
      </c>
      <c r="E21" t="n">
        <v>0</v>
      </c>
      <c r="F21" t="n">
        <v>10</v>
      </c>
      <c r="G21" t="n">
        <v>4</v>
      </c>
      <c r="H21" s="5" t="n">
        <v>87.768827</v>
      </c>
      <c r="I21" s="5" t="n">
        <v>12.147567</v>
      </c>
      <c r="M21">
        <f>COUNTIFS($B$5:$B$2000,B21,$C$5:$C$2000,C21)+COUNTIFS('PG Roster'!$B$5:$B$2000,B21,'PG Roster'!$C$5:$C$2000,C21)</f>
        <v/>
      </c>
      <c r="N21">
        <f>IFERROR(INDEX('Known Players'!$C$5:$C$500,MATCH(B21&amp;"|"&amp;C21,'Known Players'!$F$5:$F$500,0)),"")</f>
        <v/>
      </c>
      <c r="O21">
        <f>IFERROR(INDEX('Known Players'!$D$5:$D$500,MATCH(B21&amp;"|"&amp;C21,'Known Players'!$F$5:$F$500,0)),"")</f>
        <v/>
      </c>
      <c r="P21">
        <f>IFERROR(INDEX('Known Players'!$G$5:$G$500,MATCH(B21&amp;"|"&amp;C21,'Known Players'!$F$5:$F$500,0)),"")</f>
        <v/>
      </c>
    </row>
    <row r="22">
      <c r="A22" t="n">
        <v>41</v>
      </c>
      <c r="B22" t="inlineStr">
        <is>
          <t>Player0318</t>
        </is>
      </c>
      <c r="C22" t="inlineStr">
        <is>
          <t>ExampleWorld075</t>
        </is>
      </c>
      <c r="D22" t="inlineStr">
        <is>
          <t>Alliance</t>
        </is>
      </c>
      <c r="E22" t="n">
        <v>4</v>
      </c>
      <c r="F22" t="n">
        <v>9</v>
      </c>
      <c r="G22" t="n">
        <v>5</v>
      </c>
      <c r="H22" s="5" t="n">
        <v>32.968827</v>
      </c>
      <c r="I22" s="5" t="n">
        <v>11.599567</v>
      </c>
      <c r="M22">
        <f>COUNTIFS($B$5:$B$2000,B22,$C$5:$C$2000,C22)+COUNTIFS('PG Roster'!$B$5:$B$2000,B22,'PG Roster'!$C$5:$C$2000,C22)</f>
        <v/>
      </c>
      <c r="N22">
        <f>IFERROR(INDEX('Known Players'!$C$5:$C$500,MATCH(B22&amp;"|"&amp;C22,'Known Players'!$F$5:$F$500,0)),"")</f>
        <v/>
      </c>
      <c r="O22">
        <f>IFERROR(INDEX('Known Players'!$D$5:$D$500,MATCH(B22&amp;"|"&amp;C22,'Known Players'!$F$5:$F$500,0)),"")</f>
        <v/>
      </c>
      <c r="P22">
        <f>IFERROR(INDEX('Known Players'!$G$5:$G$500,MATCH(B22&amp;"|"&amp;C22,'Known Players'!$F$5:$F$500,0)),"")</f>
        <v/>
      </c>
    </row>
    <row r="23">
      <c r="A23" t="n">
        <v>41</v>
      </c>
      <c r="B23" t="inlineStr">
        <is>
          <t>Player0023</t>
        </is>
      </c>
      <c r="C23" t="inlineStr">
        <is>
          <t>ExampleWorld017</t>
        </is>
      </c>
      <c r="D23" t="inlineStr">
        <is>
          <t>Alliance</t>
        </is>
      </c>
      <c r="E23" t="n">
        <v>10</v>
      </c>
      <c r="F23" t="n">
        <v>3</v>
      </c>
      <c r="G23" t="n">
        <v>10</v>
      </c>
      <c r="H23" s="5" t="n">
        <v>18.994827</v>
      </c>
      <c r="I23" s="5" t="n">
        <v>11.599567</v>
      </c>
      <c r="M23">
        <f>COUNTIFS($B$5:$B$2000,B23,$C$5:$C$2000,C23)+COUNTIFS('PG Roster'!$B$5:$B$2000,B23,'PG Roster'!$C$5:$C$2000,C23)</f>
        <v/>
      </c>
      <c r="N23">
        <f>IFERROR(INDEX('Known Players'!$C$5:$C$500,MATCH(B23&amp;"|"&amp;C23,'Known Players'!$F$5:$F$500,0)),"")</f>
        <v/>
      </c>
      <c r="O23">
        <f>IFERROR(INDEX('Known Players'!$D$5:$D$500,MATCH(B23&amp;"|"&amp;C23,'Known Players'!$F$5:$F$500,0)),"")</f>
        <v/>
      </c>
      <c r="P23">
        <f>IFERROR(INDEX('Known Players'!$G$5:$G$500,MATCH(B23&amp;"|"&amp;C23,'Known Players'!$F$5:$F$500,0)),"")</f>
        <v/>
      </c>
    </row>
    <row r="24">
      <c r="A24" t="n">
        <v>41</v>
      </c>
      <c r="B24" t="inlineStr">
        <is>
          <t>Player0646</t>
        </is>
      </c>
      <c r="C24" t="inlineStr">
        <is>
          <t>ExampleWorld017</t>
        </is>
      </c>
      <c r="D24" t="inlineStr">
        <is>
          <t>Horde</t>
        </is>
      </c>
      <c r="E24" t="n">
        <v>8</v>
      </c>
      <c r="F24" t="n">
        <v>10</v>
      </c>
      <c r="G24" t="n">
        <v>10</v>
      </c>
      <c r="H24" s="5" t="n">
        <v>46.668827</v>
      </c>
      <c r="I24" s="5" t="n">
        <v>10.777567</v>
      </c>
      <c r="M24">
        <f>COUNTIFS($B$5:$B$2000,B24,$C$5:$C$2000,C24)+COUNTIFS('PG Roster'!$B$5:$B$2000,B24,'PG Roster'!$C$5:$C$2000,C24)</f>
        <v/>
      </c>
      <c r="N24">
        <f>IFERROR(INDEX('Known Players'!$C$5:$C$500,MATCH(B24&amp;"|"&amp;C24,'Known Players'!$F$5:$F$500,0)),"")</f>
        <v/>
      </c>
      <c r="O24">
        <f>IFERROR(INDEX('Known Players'!$D$5:$D$500,MATCH(B24&amp;"|"&amp;C24,'Known Players'!$F$5:$F$500,0)),"")</f>
        <v/>
      </c>
      <c r="P24">
        <f>IFERROR(INDEX('Known Players'!$G$5:$G$500,MATCH(B24&amp;"|"&amp;C24,'Known Players'!$F$5:$F$500,0)),"")</f>
        <v/>
      </c>
    </row>
    <row r="25">
      <c r="A25" t="n">
        <v>41</v>
      </c>
      <c r="B25" t="inlineStr">
        <is>
          <t>Player0456</t>
        </is>
      </c>
      <c r="C25" t="inlineStr">
        <is>
          <t>ExampleWorld110</t>
        </is>
      </c>
      <c r="D25" t="inlineStr">
        <is>
          <t>Horde</t>
        </is>
      </c>
      <c r="E25" t="n">
        <v>0</v>
      </c>
      <c r="F25" t="n">
        <v>6</v>
      </c>
      <c r="G25" t="n">
        <v>4</v>
      </c>
      <c r="H25" s="5" t="n">
        <v>7.760827</v>
      </c>
      <c r="I25" s="5" t="n">
        <v>9.407567</v>
      </c>
      <c r="J25" t="inlineStr">
        <is>
          <t>Carts captured: 1</t>
        </is>
      </c>
      <c r="M25">
        <f>COUNTIFS($B$5:$B$2000,B25,$C$5:$C$2000,C25)+COUNTIFS('PG Roster'!$B$5:$B$2000,B25,'PG Roster'!$C$5:$C$2000,C25)</f>
        <v/>
      </c>
      <c r="N25">
        <f>IFERROR(INDEX('Known Players'!$C$5:$C$500,MATCH(B25&amp;"|"&amp;C25,'Known Players'!$F$5:$F$500,0)),"")</f>
        <v/>
      </c>
      <c r="O25">
        <f>IFERROR(INDEX('Known Players'!$D$5:$D$500,MATCH(B25&amp;"|"&amp;C25,'Known Players'!$F$5:$F$500,0)),"")</f>
        <v/>
      </c>
      <c r="P25">
        <f>IFERROR(INDEX('Known Players'!$G$5:$G$500,MATCH(B25&amp;"|"&amp;C25,'Known Players'!$F$5:$F$500,0)),"")</f>
        <v/>
      </c>
    </row>
    <row r="26">
      <c r="A26" t="n">
        <v>41</v>
      </c>
      <c r="B26" t="inlineStr">
        <is>
          <t>Player0319</t>
        </is>
      </c>
      <c r="C26" t="inlineStr">
        <is>
          <t>ExampleWorld179</t>
        </is>
      </c>
      <c r="D26" t="inlineStr">
        <is>
          <t>Alliance</t>
        </is>
      </c>
      <c r="E26" t="n">
        <v>2</v>
      </c>
      <c r="F26" t="n">
        <v>9</v>
      </c>
      <c r="G26" t="n">
        <v>10</v>
      </c>
      <c r="H26" s="5" t="n">
        <v>38.448827</v>
      </c>
      <c r="I26" s="5" t="n">
        <v>9.133566999999999</v>
      </c>
      <c r="M26">
        <f>COUNTIFS($B$5:$B$2000,B26,$C$5:$C$2000,C26)+COUNTIFS('PG Roster'!$B$5:$B$2000,B26,'PG Roster'!$C$5:$C$2000,C26)</f>
        <v/>
      </c>
      <c r="N26">
        <f>IFERROR(INDEX('Known Players'!$C$5:$C$500,MATCH(B26&amp;"|"&amp;C26,'Known Players'!$F$5:$F$500,0)),"")</f>
        <v/>
      </c>
      <c r="O26">
        <f>IFERROR(INDEX('Known Players'!$D$5:$D$500,MATCH(B26&amp;"|"&amp;C26,'Known Players'!$F$5:$F$500,0)),"")</f>
        <v/>
      </c>
      <c r="P26">
        <f>IFERROR(INDEX('Known Players'!$G$5:$G$500,MATCH(B26&amp;"|"&amp;C26,'Known Players'!$F$5:$F$500,0)),"")</f>
        <v/>
      </c>
    </row>
    <row r="27">
      <c r="A27" t="n">
        <v>41</v>
      </c>
      <c r="B27" t="inlineStr">
        <is>
          <t>Player0910</t>
        </is>
      </c>
      <c r="C27" t="inlineStr">
        <is>
          <t>ExampleWorld165</t>
        </is>
      </c>
      <c r="D27" t="inlineStr">
        <is>
          <t>Horde</t>
        </is>
      </c>
      <c r="E27" t="n">
        <v>5</v>
      </c>
      <c r="F27" t="n">
        <v>4</v>
      </c>
      <c r="G27" t="n">
        <v>2</v>
      </c>
      <c r="H27" s="5" t="n">
        <v>20.912827</v>
      </c>
      <c r="I27" s="5" t="n">
        <v>6.941567</v>
      </c>
      <c r="M27">
        <f>COUNTIFS($B$5:$B$2000,B27,$C$5:$C$2000,C27)+COUNTIFS('PG Roster'!$B$5:$B$2000,B27,'PG Roster'!$C$5:$C$2000,C27)</f>
        <v/>
      </c>
      <c r="N27">
        <f>IFERROR(INDEX('Known Players'!$C$5:$C$500,MATCH(B27&amp;"|"&amp;C27,'Known Players'!$F$5:$F$500,0)),"")</f>
        <v/>
      </c>
      <c r="O27">
        <f>IFERROR(INDEX('Known Players'!$D$5:$D$500,MATCH(B27&amp;"|"&amp;C27,'Known Players'!$F$5:$F$500,0)),"")</f>
        <v/>
      </c>
      <c r="P27">
        <f>IFERROR(INDEX('Known Players'!$G$5:$G$500,MATCH(B27&amp;"|"&amp;C27,'Known Players'!$F$5:$F$500,0)),"")</f>
        <v/>
      </c>
    </row>
    <row r="28">
      <c r="A28" t="n">
        <v>41</v>
      </c>
      <c r="B28" t="inlineStr">
        <is>
          <t>Player0213</t>
        </is>
      </c>
      <c r="C28" t="inlineStr">
        <is>
          <t>ExampleWorld029</t>
        </is>
      </c>
      <c r="D28" t="inlineStr">
        <is>
          <t>Horde</t>
        </is>
      </c>
      <c r="E28" t="n">
        <v>2</v>
      </c>
      <c r="F28" t="n">
        <v>1</v>
      </c>
      <c r="G28" t="n">
        <v>10</v>
      </c>
      <c r="H28" s="5" t="n">
        <v>21.186827</v>
      </c>
      <c r="I28" s="5" t="n">
        <v>5.297567</v>
      </c>
      <c r="J28" t="inlineStr">
        <is>
          <t>Carts captured: 2</t>
        </is>
      </c>
      <c r="M28">
        <f>COUNTIFS($B$5:$B$2000,B28,$C$5:$C$2000,C28)+COUNTIFS('PG Roster'!$B$5:$B$2000,B28,'PG Roster'!$C$5:$C$2000,C28)</f>
        <v/>
      </c>
      <c r="N28">
        <f>IFERROR(INDEX('Known Players'!$C$5:$C$500,MATCH(B28&amp;"|"&amp;C28,'Known Players'!$F$5:$F$500,0)),"")</f>
        <v/>
      </c>
      <c r="O28">
        <f>IFERROR(INDEX('Known Players'!$D$5:$D$500,MATCH(B28&amp;"|"&amp;C28,'Known Players'!$F$5:$F$500,0)),"")</f>
        <v/>
      </c>
      <c r="P28">
        <f>IFERROR(INDEX('Known Players'!$G$5:$G$500,MATCH(B28&amp;"|"&amp;C28,'Known Players'!$F$5:$F$500,0)),"")</f>
        <v/>
      </c>
    </row>
    <row r="29">
      <c r="A29" t="n">
        <v>41</v>
      </c>
      <c r="B29" t="inlineStr">
        <is>
          <t>Player0255</t>
        </is>
      </c>
      <c r="C29" t="inlineStr">
        <is>
          <t>ExampleWorld003</t>
        </is>
      </c>
      <c r="D29" t="inlineStr">
        <is>
          <t>Alliance</t>
        </is>
      </c>
      <c r="E29" t="n">
        <v>4</v>
      </c>
      <c r="F29" t="n">
        <v>5</v>
      </c>
      <c r="G29" t="n">
        <v>0</v>
      </c>
      <c r="H29" s="5" t="n">
        <v>22.556827</v>
      </c>
      <c r="I29" s="5" t="n">
        <v>5.297567</v>
      </c>
      <c r="M29">
        <f>COUNTIFS($B$5:$B$2000,B29,$C$5:$C$2000,C29)+COUNTIFS('PG Roster'!$B$5:$B$2000,B29,'PG Roster'!$C$5:$C$2000,C29)</f>
        <v/>
      </c>
      <c r="N29">
        <f>IFERROR(INDEX('Known Players'!$C$5:$C$500,MATCH(B29&amp;"|"&amp;C29,'Known Players'!$F$5:$F$500,0)),"")</f>
        <v/>
      </c>
      <c r="O29">
        <f>IFERROR(INDEX('Known Players'!$D$5:$D$500,MATCH(B29&amp;"|"&amp;C29,'Known Players'!$F$5:$F$500,0)),"")</f>
        <v/>
      </c>
      <c r="P29">
        <f>IFERROR(INDEX('Known Players'!$G$5:$G$500,MATCH(B29&amp;"|"&amp;C29,'Known Players'!$F$5:$F$500,0)),"")</f>
        <v/>
      </c>
    </row>
    <row r="30">
      <c r="A30" t="n">
        <v>41</v>
      </c>
      <c r="B30" t="inlineStr">
        <is>
          <t>Player0705</t>
        </is>
      </c>
      <c r="C30" t="inlineStr">
        <is>
          <t>ExampleWorld164</t>
        </is>
      </c>
      <c r="D30" t="inlineStr">
        <is>
          <t>Alliance</t>
        </is>
      </c>
      <c r="E30" t="n">
        <v>0</v>
      </c>
      <c r="F30" t="n">
        <v>7</v>
      </c>
      <c r="G30" t="n">
        <v>2</v>
      </c>
      <c r="H30" s="5" t="n">
        <v>13.514827</v>
      </c>
      <c r="I30" s="5" t="n">
        <v>4.475567</v>
      </c>
      <c r="M30">
        <f>COUNTIFS($B$5:$B$2000,B30,$C$5:$C$2000,C30)+COUNTIFS('PG Roster'!$B$5:$B$2000,B30,'PG Roster'!$C$5:$C$2000,C30)</f>
        <v/>
      </c>
      <c r="N30">
        <f>IFERROR(INDEX('Known Players'!$C$5:$C$500,MATCH(B30&amp;"|"&amp;C30,'Known Players'!$F$5:$F$500,0)),"")</f>
        <v/>
      </c>
      <c r="O30">
        <f>IFERROR(INDEX('Known Players'!$D$5:$D$500,MATCH(B30&amp;"|"&amp;C30,'Known Players'!$F$5:$F$500,0)),"")</f>
        <v/>
      </c>
      <c r="P30">
        <f>IFERROR(INDEX('Known Players'!$G$5:$G$500,MATCH(B30&amp;"|"&amp;C30,'Known Players'!$F$5:$F$500,0)),"")</f>
        <v/>
      </c>
    </row>
    <row r="31">
      <c r="A31" t="n">
        <v>41</v>
      </c>
      <c r="B31" t="inlineStr">
        <is>
          <t>Player0226</t>
        </is>
      </c>
      <c r="C31" t="inlineStr">
        <is>
          <t>SandboxRealm</t>
        </is>
      </c>
      <c r="D31" t="inlineStr">
        <is>
          <t>Horde</t>
        </is>
      </c>
      <c r="E31" t="n">
        <v>7</v>
      </c>
      <c r="F31" t="n">
        <v>7</v>
      </c>
      <c r="G31" t="n">
        <v>5</v>
      </c>
      <c r="H31" s="5" t="n">
        <v>10.500827</v>
      </c>
      <c r="I31" s="5" t="n">
        <v>4.201567</v>
      </c>
      <c r="M31">
        <f>COUNTIFS($B$5:$B$2000,B31,$C$5:$C$2000,C31)+COUNTIFS('PG Roster'!$B$5:$B$2000,B31,'PG Roster'!$C$5:$C$2000,C31)</f>
        <v/>
      </c>
      <c r="N31">
        <f>IFERROR(INDEX('Known Players'!$C$5:$C$500,MATCH(B31&amp;"|"&amp;C31,'Known Players'!$F$5:$F$500,0)),"")</f>
        <v/>
      </c>
      <c r="O31">
        <f>IFERROR(INDEX('Known Players'!$D$5:$D$500,MATCH(B31&amp;"|"&amp;C31,'Known Players'!$F$5:$F$500,0)),"")</f>
        <v/>
      </c>
      <c r="P31">
        <f>IFERROR(INDEX('Known Players'!$G$5:$G$500,MATCH(B31&amp;"|"&amp;C31,'Known Players'!$F$5:$F$500,0)),"")</f>
        <v/>
      </c>
    </row>
    <row r="32">
      <c r="A32" t="n">
        <v>41</v>
      </c>
      <c r="B32" t="inlineStr">
        <is>
          <t>Player0103</t>
        </is>
      </c>
      <c r="C32" t="inlineStr">
        <is>
          <t>ExampleWorld164</t>
        </is>
      </c>
      <c r="D32" t="inlineStr">
        <is>
          <t>Alliance</t>
        </is>
      </c>
      <c r="E32" t="n">
        <v>7</v>
      </c>
      <c r="F32" t="n">
        <v>10</v>
      </c>
      <c r="G32" t="n">
        <v>2</v>
      </c>
      <c r="H32" s="5" t="n">
        <v>52.148827</v>
      </c>
      <c r="I32" s="5" t="n">
        <v>3.653567</v>
      </c>
      <c r="M32">
        <f>COUNTIFS($B$5:$B$2000,B32,$C$5:$C$2000,C32)+COUNTIFS('PG Roster'!$B$5:$B$2000,B32,'PG Roster'!$C$5:$C$2000,C32)</f>
        <v/>
      </c>
      <c r="N32">
        <f>IFERROR(INDEX('Known Players'!$C$5:$C$500,MATCH(B32&amp;"|"&amp;C32,'Known Players'!$F$5:$F$500,0)),"")</f>
        <v/>
      </c>
      <c r="O32">
        <f>IFERROR(INDEX('Known Players'!$D$5:$D$500,MATCH(B32&amp;"|"&amp;C32,'Known Players'!$F$5:$F$500,0)),"")</f>
        <v/>
      </c>
      <c r="P32">
        <f>IFERROR(INDEX('Known Players'!$G$5:$G$500,MATCH(B32&amp;"|"&amp;C32,'Known Players'!$F$5:$F$500,0)),"")</f>
        <v/>
      </c>
    </row>
    <row r="33">
      <c r="A33" t="n">
        <v>41</v>
      </c>
      <c r="B33" t="inlineStr">
        <is>
          <t>Player0553</t>
        </is>
      </c>
      <c r="C33" t="inlineStr">
        <is>
          <t>ExampleWorld067</t>
        </is>
      </c>
      <c r="D33" t="inlineStr">
        <is>
          <t>Alliance</t>
        </is>
      </c>
      <c r="E33" t="n">
        <v>4</v>
      </c>
      <c r="F33" t="n">
        <v>2</v>
      </c>
      <c r="G33" t="n">
        <v>7</v>
      </c>
      <c r="H33" s="5" t="n">
        <v>30.228827</v>
      </c>
      <c r="I33" s="5" t="n">
        <v>2.831567</v>
      </c>
      <c r="M33">
        <f>COUNTIFS($B$5:$B$2000,B33,$C$5:$C$2000,C33)+COUNTIFS('PG Roster'!$B$5:$B$2000,B33,'PG Roster'!$C$5:$C$2000,C33)</f>
        <v/>
      </c>
      <c r="N33">
        <f>IFERROR(INDEX('Known Players'!$C$5:$C$500,MATCH(B33&amp;"|"&amp;C33,'Known Players'!$F$5:$F$500,0)),"")</f>
        <v/>
      </c>
      <c r="O33">
        <f>IFERROR(INDEX('Known Players'!$D$5:$D$500,MATCH(B33&amp;"|"&amp;C33,'Known Players'!$F$5:$F$500,0)),"")</f>
        <v/>
      </c>
      <c r="P33">
        <f>IFERROR(INDEX('Known Players'!$G$5:$G$500,MATCH(B33&amp;"|"&amp;C33,'Known Players'!$F$5:$F$500,0)),"")</f>
        <v/>
      </c>
    </row>
    <row r="34">
      <c r="A34" t="n">
        <v>41</v>
      </c>
      <c r="B34" t="inlineStr">
        <is>
          <t>Player0053</t>
        </is>
      </c>
      <c r="C34" t="inlineStr">
        <is>
          <t>ExampleWorld159</t>
        </is>
      </c>
      <c r="D34" t="inlineStr">
        <is>
          <t>Alliance</t>
        </is>
      </c>
      <c r="E34" t="n">
        <v>0</v>
      </c>
      <c r="F34" t="n">
        <v>10</v>
      </c>
      <c r="G34" t="n">
        <v>0</v>
      </c>
      <c r="H34" s="5" t="n">
        <v>1.351967</v>
      </c>
      <c r="I34" s="5" t="n">
        <v>0.529967</v>
      </c>
      <c r="M34">
        <f>COUNTIFS($B$5:$B$2000,B34,$C$5:$C$2000,C34)+COUNTIFS('PG Roster'!$B$5:$B$2000,B34,'PG Roster'!$C$5:$C$2000,C34)</f>
        <v/>
      </c>
      <c r="N34">
        <f>IFERROR(INDEX('Known Players'!$C$5:$C$500,MATCH(B34&amp;"|"&amp;C34,'Known Players'!$F$5:$F$500,0)),"")</f>
        <v/>
      </c>
      <c r="O34">
        <f>IFERROR(INDEX('Known Players'!$D$5:$D$500,MATCH(B34&amp;"|"&amp;C34,'Known Players'!$F$5:$F$500,0)),"")</f>
        <v/>
      </c>
      <c r="P34">
        <f>IFERROR(INDEX('Known Players'!$G$5:$G$500,MATCH(B34&amp;"|"&amp;C34,'Known Players'!$F$5:$F$500,0)),"")</f>
        <v/>
      </c>
    </row>
    <row r="35">
      <c r="A35" t="n">
        <v>42</v>
      </c>
      <c r="B35" t="inlineStr">
        <is>
          <t>Player0914</t>
        </is>
      </c>
      <c r="C35" t="inlineStr">
        <is>
          <t>ExampleWorld186</t>
        </is>
      </c>
      <c r="D35" t="inlineStr">
        <is>
          <t>Horde</t>
        </is>
      </c>
      <c r="E35" t="n">
        <v>0</v>
      </c>
      <c r="F35" t="n">
        <v>6</v>
      </c>
      <c r="G35" t="n">
        <v>0</v>
      </c>
      <c r="H35" s="5" t="n">
        <v>0.590247</v>
      </c>
      <c r="I35" s="5" t="n">
        <v>22.011567</v>
      </c>
      <c r="M35">
        <f>COUNTIFS($B$5:$B$2000,B35,$C$5:$C$2000,C35)+COUNTIFS('PG Roster'!$B$5:$B$2000,B35,'PG Roster'!$C$5:$C$2000,C35)</f>
        <v/>
      </c>
      <c r="N35">
        <f>IFERROR(INDEX('Known Players'!$C$5:$C$500,MATCH(B35&amp;"|"&amp;C35,'Known Players'!$F$5:$F$500,0)),"")</f>
        <v/>
      </c>
      <c r="O35">
        <f>IFERROR(INDEX('Known Players'!$D$5:$D$500,MATCH(B35&amp;"|"&amp;C35,'Known Players'!$F$5:$F$500,0)),"")</f>
        <v/>
      </c>
      <c r="P35">
        <f>IFERROR(INDEX('Known Players'!$G$5:$G$500,MATCH(B35&amp;"|"&amp;C35,'Known Players'!$F$5:$F$500,0)),"")</f>
        <v/>
      </c>
    </row>
    <row r="36">
      <c r="A36" t="n">
        <v>42</v>
      </c>
      <c r="B36" t="inlineStr">
        <is>
          <t>Mossweaver</t>
        </is>
      </c>
      <c r="C36" t="inlineStr">
        <is>
          <t>exampleworld001</t>
        </is>
      </c>
      <c r="D36" t="inlineStr">
        <is>
          <t>Horde</t>
        </is>
      </c>
      <c r="E36" t="n">
        <v>0</v>
      </c>
      <c r="F36" t="n">
        <v>6</v>
      </c>
      <c r="G36" t="n">
        <v>0</v>
      </c>
      <c r="H36" s="5" t="n">
        <v>1.724607</v>
      </c>
      <c r="I36" s="5" t="n">
        <v>19.326367</v>
      </c>
      <c r="M36">
        <f>COUNTIFS($B$5:$B$2000,B36,$C$5:$C$2000,C36)+COUNTIFS('PG Roster'!$B$5:$B$2000,B36,'PG Roster'!$C$5:$C$2000,C36)</f>
        <v/>
      </c>
      <c r="N36">
        <f>IFERROR(INDEX('Known Players'!$C$5:$C$500,MATCH(B36&amp;"|"&amp;C36,'Known Players'!$F$5:$F$500,0)),"")</f>
        <v/>
      </c>
      <c r="O36">
        <f>IFERROR(INDEX('Known Players'!$D$5:$D$500,MATCH(B36&amp;"|"&amp;C36,'Known Players'!$F$5:$F$500,0)),"")</f>
        <v/>
      </c>
      <c r="P36">
        <f>IFERROR(INDEX('Known Players'!$G$5:$G$500,MATCH(B36&amp;"|"&amp;C36,'Known Players'!$F$5:$F$500,0)),"")</f>
        <v/>
      </c>
    </row>
    <row r="37">
      <c r="A37" t="n">
        <v>42</v>
      </c>
      <c r="B37" t="inlineStr">
        <is>
          <t>Pebblebrew</t>
        </is>
      </c>
      <c r="C37" t="inlineStr">
        <is>
          <t>SandboxRealm</t>
        </is>
      </c>
      <c r="D37" t="inlineStr">
        <is>
          <t>Horde</t>
        </is>
      </c>
      <c r="E37" t="n">
        <v>7</v>
      </c>
      <c r="F37" t="n">
        <v>6</v>
      </c>
      <c r="G37" t="n">
        <v>0</v>
      </c>
      <c r="H37" s="5" t="n">
        <v>14.336827</v>
      </c>
      <c r="I37" s="5" t="n">
        <v>4.749567</v>
      </c>
      <c r="J37" t="inlineStr">
        <is>
          <t>Orbs: 1, VP: 292</t>
        </is>
      </c>
      <c r="M37">
        <f>COUNTIFS($B$5:$B$2000,B37,$C$5:$C$2000,C37)+COUNTIFS('PG Roster'!$B$5:$B$2000,B37,'PG Roster'!$C$5:$C$2000,C37)</f>
        <v/>
      </c>
      <c r="N37">
        <f>IFERROR(INDEX('Known Players'!$C$5:$C$500,MATCH(B37&amp;"|"&amp;C37,'Known Players'!$F$5:$F$500,0)),"")</f>
        <v/>
      </c>
      <c r="O37">
        <f>IFERROR(INDEX('Known Players'!$D$5:$D$500,MATCH(B37&amp;"|"&amp;C37,'Known Players'!$F$5:$F$500,0)),"")</f>
        <v/>
      </c>
      <c r="P37">
        <f>IFERROR(INDEX('Known Players'!$G$5:$G$500,MATCH(B37&amp;"|"&amp;C37,'Known Players'!$F$5:$F$500,0)),"")</f>
        <v/>
      </c>
    </row>
    <row r="38">
      <c r="A38" t="n">
        <v>42</v>
      </c>
      <c r="B38" t="inlineStr">
        <is>
          <t>Snowflare</t>
        </is>
      </c>
      <c r="C38" t="inlineStr">
        <is>
          <t>SandboxRealm</t>
        </is>
      </c>
      <c r="D38" t="inlineStr">
        <is>
          <t>Horde</t>
        </is>
      </c>
      <c r="E38" t="n">
        <v>0</v>
      </c>
      <c r="F38" t="n">
        <v>6</v>
      </c>
      <c r="G38" t="n">
        <v>0</v>
      </c>
      <c r="H38" s="5" t="n">
        <v>11.596827</v>
      </c>
      <c r="I38" s="5" t="n">
        <v>4.749567</v>
      </c>
      <c r="M38">
        <f>COUNTIFS($B$5:$B$2000,B38,$C$5:$C$2000,C38)+COUNTIFS('PG Roster'!$B$5:$B$2000,B38,'PG Roster'!$C$5:$C$2000,C38)</f>
        <v/>
      </c>
      <c r="N38">
        <f>IFERROR(INDEX('Known Players'!$C$5:$C$500,MATCH(B38&amp;"|"&amp;C38,'Known Players'!$F$5:$F$500,0)),"")</f>
        <v/>
      </c>
      <c r="O38">
        <f>IFERROR(INDEX('Known Players'!$D$5:$D$500,MATCH(B38&amp;"|"&amp;C38,'Known Players'!$F$5:$F$500,0)),"")</f>
        <v/>
      </c>
      <c r="P38">
        <f>IFERROR(INDEX('Known Players'!$G$5:$G$500,MATCH(B38&amp;"|"&amp;C38,'Known Players'!$F$5:$F$500,0)),"")</f>
        <v/>
      </c>
    </row>
    <row r="39">
      <c r="A39" t="n">
        <v>42</v>
      </c>
      <c r="B39" t="inlineStr">
        <is>
          <t>Player0616</t>
        </is>
      </c>
      <c r="C39" t="inlineStr">
        <is>
          <t>ExampleWorld146</t>
        </is>
      </c>
      <c r="D39" t="inlineStr">
        <is>
          <t>Horde</t>
        </is>
      </c>
      <c r="E39" t="n">
        <v>0</v>
      </c>
      <c r="F39" t="n">
        <v>3</v>
      </c>
      <c r="G39" t="n">
        <v>4</v>
      </c>
      <c r="H39" s="5" t="n">
        <v>2.828827</v>
      </c>
      <c r="I39" s="5" t="n">
        <v>4.475567</v>
      </c>
      <c r="M39">
        <f>COUNTIFS($B$5:$B$2000,B39,$C$5:$C$2000,C39)+COUNTIFS('PG Roster'!$B$5:$B$2000,B39,'PG Roster'!$C$5:$C$2000,C39)</f>
        <v/>
      </c>
      <c r="N39">
        <f>IFERROR(INDEX('Known Players'!$C$5:$C$500,MATCH(B39&amp;"|"&amp;C39,'Known Players'!$F$5:$F$500,0)),"")</f>
        <v/>
      </c>
      <c r="O39">
        <f>IFERROR(INDEX('Known Players'!$D$5:$D$500,MATCH(B39&amp;"|"&amp;C39,'Known Players'!$F$5:$F$500,0)),"")</f>
        <v/>
      </c>
      <c r="P39">
        <f>IFERROR(INDEX('Known Players'!$G$5:$G$500,MATCH(B39&amp;"|"&amp;C39,'Known Players'!$F$5:$F$500,0)),"")</f>
        <v/>
      </c>
    </row>
    <row r="40">
      <c r="A40" t="n">
        <v>42</v>
      </c>
      <c r="B40" t="inlineStr">
        <is>
          <t>Player0232</t>
        </is>
      </c>
      <c r="C40" t="inlineStr">
        <is>
          <t>ExampleWorld132</t>
        </is>
      </c>
      <c r="D40" t="inlineStr">
        <is>
          <t>Horde</t>
        </is>
      </c>
      <c r="E40" t="n">
        <v>7</v>
      </c>
      <c r="F40" t="n">
        <v>8</v>
      </c>
      <c r="G40" t="n">
        <v>7</v>
      </c>
      <c r="H40" s="5" t="n">
        <v>9.952826999999999</v>
      </c>
      <c r="I40" s="5" t="n">
        <v>3.927567</v>
      </c>
      <c r="J40" t="inlineStr">
        <is>
          <t>VP: 20</t>
        </is>
      </c>
      <c r="M40">
        <f>COUNTIFS($B$5:$B$2000,B40,$C$5:$C$2000,C40)+COUNTIFS('PG Roster'!$B$5:$B$2000,B40,'PG Roster'!$C$5:$C$2000,C40)</f>
        <v/>
      </c>
      <c r="N40">
        <f>IFERROR(INDEX('Known Players'!$C$5:$C$500,MATCH(B40&amp;"|"&amp;C40,'Known Players'!$F$5:$F$500,0)),"")</f>
        <v/>
      </c>
      <c r="O40">
        <f>IFERROR(INDEX('Known Players'!$D$5:$D$500,MATCH(B40&amp;"|"&amp;C40,'Known Players'!$F$5:$F$500,0)),"")</f>
        <v/>
      </c>
      <c r="P40">
        <f>IFERROR(INDEX('Known Players'!$G$5:$G$500,MATCH(B40&amp;"|"&amp;C40,'Known Players'!$F$5:$F$500,0)),"")</f>
        <v/>
      </c>
    </row>
    <row r="41">
      <c r="A41" t="n">
        <v>42</v>
      </c>
      <c r="B41" t="inlineStr">
        <is>
          <t>Player0906</t>
        </is>
      </c>
      <c r="C41" t="inlineStr">
        <is>
          <t>ExampleWorld075</t>
        </is>
      </c>
      <c r="D41" t="inlineStr">
        <is>
          <t>Horde</t>
        </is>
      </c>
      <c r="E41" t="n">
        <v>0</v>
      </c>
      <c r="F41" t="n">
        <v>3</v>
      </c>
      <c r="G41" t="n">
        <v>4</v>
      </c>
      <c r="H41" s="5" t="n">
        <v>1.220447</v>
      </c>
      <c r="I41" s="5" t="n">
        <v>2.439747</v>
      </c>
      <c r="J41" t="inlineStr">
        <is>
          <t>Orbs: 2, VP: 340</t>
        </is>
      </c>
      <c r="M41">
        <f>COUNTIFS($B$5:$B$2000,B41,$C$5:$C$2000,C41)+COUNTIFS('PG Roster'!$B$5:$B$2000,B41,'PG Roster'!$C$5:$C$2000,C41)</f>
        <v/>
      </c>
      <c r="N41">
        <f>IFERROR(INDEX('Known Players'!$C$5:$C$500,MATCH(B41&amp;"|"&amp;C41,'Known Players'!$F$5:$F$500,0)),"")</f>
        <v/>
      </c>
      <c r="O41">
        <f>IFERROR(INDEX('Known Players'!$D$5:$D$500,MATCH(B41&amp;"|"&amp;C41,'Known Players'!$F$5:$F$500,0)),"")</f>
        <v/>
      </c>
      <c r="P41">
        <f>IFERROR(INDEX('Known Players'!$G$5:$G$500,MATCH(B41&amp;"|"&amp;C41,'Known Players'!$F$5:$F$500,0)),"")</f>
        <v/>
      </c>
    </row>
    <row r="42">
      <c r="A42" t="n">
        <v>42</v>
      </c>
      <c r="B42" t="inlineStr">
        <is>
          <t>Player0287</t>
        </is>
      </c>
      <c r="C42" t="inlineStr">
        <is>
          <t>SandboxRealm</t>
        </is>
      </c>
      <c r="D42" t="inlineStr">
        <is>
          <t>Horde</t>
        </is>
      </c>
      <c r="E42" t="n">
        <v>6</v>
      </c>
      <c r="F42" t="n">
        <v>6</v>
      </c>
      <c r="G42" t="n">
        <v>0</v>
      </c>
      <c r="H42" s="5" t="n">
        <v>17.898827</v>
      </c>
      <c r="I42" s="5" t="n">
        <v>2.338367</v>
      </c>
      <c r="J42" t="inlineStr">
        <is>
          <t>VP: 90</t>
        </is>
      </c>
      <c r="M42">
        <f>COUNTIFS($B$5:$B$2000,B42,$C$5:$C$2000,C42)+COUNTIFS('PG Roster'!$B$5:$B$2000,B42,'PG Roster'!$C$5:$C$2000,C42)</f>
        <v/>
      </c>
      <c r="N42">
        <f>IFERROR(INDEX('Known Players'!$C$5:$C$500,MATCH(B42&amp;"|"&amp;C42,'Known Players'!$F$5:$F$500,0)),"")</f>
        <v/>
      </c>
      <c r="O42">
        <f>IFERROR(INDEX('Known Players'!$D$5:$D$500,MATCH(B42&amp;"|"&amp;C42,'Known Players'!$F$5:$F$500,0)),"")</f>
        <v/>
      </c>
      <c r="P42">
        <f>IFERROR(INDEX('Known Players'!$G$5:$G$500,MATCH(B42&amp;"|"&amp;C42,'Known Players'!$F$5:$F$500,0)),"")</f>
        <v/>
      </c>
    </row>
    <row r="43">
      <c r="A43" t="n">
        <v>42</v>
      </c>
      <c r="B43" t="inlineStr">
        <is>
          <t>Player0742</t>
        </is>
      </c>
      <c r="C43" t="inlineStr">
        <is>
          <t>ExampleWorld118</t>
        </is>
      </c>
      <c r="D43" t="inlineStr">
        <is>
          <t>Horde</t>
        </is>
      </c>
      <c r="E43" t="n">
        <v>2</v>
      </c>
      <c r="F43" t="n">
        <v>6</v>
      </c>
      <c r="G43" t="n">
        <v>0</v>
      </c>
      <c r="H43" s="5" t="n">
        <v>11.596827</v>
      </c>
      <c r="I43" s="5" t="n">
        <v>1.902707</v>
      </c>
      <c r="J43" t="inlineStr">
        <is>
          <t>Orbs: 1, VP: 428</t>
        </is>
      </c>
      <c r="M43">
        <f>COUNTIFS($B$5:$B$2000,B43,$C$5:$C$2000,C43)+COUNTIFS('PG Roster'!$B$5:$B$2000,B43,'PG Roster'!$C$5:$C$2000,C43)</f>
        <v/>
      </c>
      <c r="N43">
        <f>IFERROR(INDEX('Known Players'!$C$5:$C$500,MATCH(B43&amp;"|"&amp;C43,'Known Players'!$F$5:$F$500,0)),"")</f>
        <v/>
      </c>
      <c r="O43">
        <f>IFERROR(INDEX('Known Players'!$D$5:$D$500,MATCH(B43&amp;"|"&amp;C43,'Known Players'!$F$5:$F$500,0)),"")</f>
        <v/>
      </c>
      <c r="P43">
        <f>IFERROR(INDEX('Known Players'!$G$5:$G$500,MATCH(B43&amp;"|"&amp;C43,'Known Players'!$F$5:$F$500,0)),"")</f>
        <v/>
      </c>
    </row>
    <row r="44">
      <c r="A44" t="n">
        <v>42</v>
      </c>
      <c r="B44" t="inlineStr">
        <is>
          <t>Emberguard</t>
        </is>
      </c>
      <c r="C44" t="inlineStr">
        <is>
          <t>SandboxRealm</t>
        </is>
      </c>
      <c r="D44" t="inlineStr">
        <is>
          <t>Horde</t>
        </is>
      </c>
      <c r="E44" t="n">
        <v>10</v>
      </c>
      <c r="F44" t="n">
        <v>6</v>
      </c>
      <c r="G44" t="n">
        <v>0</v>
      </c>
      <c r="H44" s="5" t="n">
        <v>25.570827</v>
      </c>
      <c r="I44" s="5" t="n">
        <v>1.382107</v>
      </c>
      <c r="J44" t="inlineStr">
        <is>
          <t>Orbs: 1, VP: 386</t>
        </is>
      </c>
      <c r="M44">
        <f>COUNTIFS($B$5:$B$2000,B44,$C$5:$C$2000,C44)+COUNTIFS('PG Roster'!$B$5:$B$2000,B44,'PG Roster'!$C$5:$C$2000,C44)</f>
        <v/>
      </c>
      <c r="N44">
        <f>IFERROR(INDEX('Known Players'!$C$5:$C$500,MATCH(B44&amp;"|"&amp;C44,'Known Players'!$F$5:$F$500,0)),"")</f>
        <v/>
      </c>
      <c r="O44">
        <f>IFERROR(INDEX('Known Players'!$D$5:$D$500,MATCH(B44&amp;"|"&amp;C44,'Known Players'!$F$5:$F$500,0)),"")</f>
        <v/>
      </c>
      <c r="P44">
        <f>IFERROR(INDEX('Known Players'!$G$5:$G$500,MATCH(B44&amp;"|"&amp;C44,'Known Players'!$F$5:$F$500,0)),"")</f>
        <v/>
      </c>
    </row>
    <row r="45">
      <c r="A45" t="n">
        <v>42</v>
      </c>
      <c r="B45" t="inlineStr">
        <is>
          <t>Player0824</t>
        </is>
      </c>
      <c r="C45" t="inlineStr">
        <is>
          <t>ExampleWorld019</t>
        </is>
      </c>
      <c r="D45" t="inlineStr">
        <is>
          <t>Alliance</t>
        </is>
      </c>
      <c r="E45" t="n">
        <v>0</v>
      </c>
      <c r="F45" t="n">
        <v>7</v>
      </c>
      <c r="G45" t="n">
        <v>10</v>
      </c>
      <c r="H45" s="5" t="n">
        <v>0.656007</v>
      </c>
      <c r="I45" s="5" t="n">
        <v>16.257567</v>
      </c>
      <c r="J45" t="inlineStr">
        <is>
          <t>Orbs: 2, VP: 46</t>
        </is>
      </c>
      <c r="M45">
        <f>COUNTIFS($B$5:$B$2000,B45,$C$5:$C$2000,C45)+COUNTIFS('PG Roster'!$B$5:$B$2000,B45,'PG Roster'!$C$5:$C$2000,C45)</f>
        <v/>
      </c>
      <c r="N45">
        <f>IFERROR(INDEX('Known Players'!$C$5:$C$500,MATCH(B45&amp;"|"&amp;C45,'Known Players'!$F$5:$F$500,0)),"")</f>
        <v/>
      </c>
      <c r="O45">
        <f>IFERROR(INDEX('Known Players'!$D$5:$D$500,MATCH(B45&amp;"|"&amp;C45,'Known Players'!$F$5:$F$500,0)),"")</f>
        <v/>
      </c>
      <c r="P45">
        <f>IFERROR(INDEX('Known Players'!$G$5:$G$500,MATCH(B45&amp;"|"&amp;C45,'Known Players'!$F$5:$F$500,0)),"")</f>
        <v/>
      </c>
    </row>
    <row r="46">
      <c r="A46" t="n">
        <v>42</v>
      </c>
      <c r="B46" t="inlineStr">
        <is>
          <t>Player0549</t>
        </is>
      </c>
      <c r="C46" t="inlineStr">
        <is>
          <t>ExampleWorld012</t>
        </is>
      </c>
      <c r="D46" t="inlineStr">
        <is>
          <t>Alliance</t>
        </is>
      </c>
      <c r="E46" t="n">
        <v>0</v>
      </c>
      <c r="F46" t="n">
        <v>7</v>
      </c>
      <c r="G46" t="n">
        <v>4</v>
      </c>
      <c r="H46" s="5" t="n">
        <v>1.302647</v>
      </c>
      <c r="I46" s="5" t="n">
        <v>5.845567</v>
      </c>
      <c r="J46" t="inlineStr">
        <is>
          <t>Orbs: 1, VP: 22</t>
        </is>
      </c>
      <c r="M46">
        <f>COUNTIFS($B$5:$B$2000,B46,$C$5:$C$2000,C46)+COUNTIFS('PG Roster'!$B$5:$B$2000,B46,'PG Roster'!$C$5:$C$2000,C46)</f>
        <v/>
      </c>
      <c r="N46">
        <f>IFERROR(INDEX('Known Players'!$C$5:$C$500,MATCH(B46&amp;"|"&amp;C46,'Known Players'!$F$5:$F$500,0)),"")</f>
        <v/>
      </c>
      <c r="O46">
        <f>IFERROR(INDEX('Known Players'!$D$5:$D$500,MATCH(B46&amp;"|"&amp;C46,'Known Players'!$F$5:$F$500,0)),"")</f>
        <v/>
      </c>
      <c r="P46">
        <f>IFERROR(INDEX('Known Players'!$G$5:$G$500,MATCH(B46&amp;"|"&amp;C46,'Known Players'!$F$5:$F$500,0)),"")</f>
        <v/>
      </c>
    </row>
    <row r="47">
      <c r="A47" t="n">
        <v>42</v>
      </c>
      <c r="B47" t="inlineStr">
        <is>
          <t>Player0206</t>
        </is>
      </c>
      <c r="C47" t="inlineStr">
        <is>
          <t>ExampleWorld009</t>
        </is>
      </c>
      <c r="D47" t="inlineStr">
        <is>
          <t>Alliance</t>
        </is>
      </c>
      <c r="E47" t="n">
        <v>4</v>
      </c>
      <c r="F47" t="n">
        <v>2</v>
      </c>
      <c r="G47" t="n">
        <v>7</v>
      </c>
      <c r="H47" s="5" t="n">
        <v>15.706827</v>
      </c>
      <c r="I47" s="5" t="n">
        <v>2.831567</v>
      </c>
      <c r="J47" t="inlineStr">
        <is>
          <t>VP: 10</t>
        </is>
      </c>
      <c r="M47">
        <f>COUNTIFS($B$5:$B$2000,B47,$C$5:$C$2000,C47)+COUNTIFS('PG Roster'!$B$5:$B$2000,B47,'PG Roster'!$C$5:$C$2000,C47)</f>
        <v/>
      </c>
      <c r="N47">
        <f>IFERROR(INDEX('Known Players'!$C$5:$C$500,MATCH(B47&amp;"|"&amp;C47,'Known Players'!$F$5:$F$500,0)),"")</f>
        <v/>
      </c>
      <c r="O47">
        <f>IFERROR(INDEX('Known Players'!$D$5:$D$500,MATCH(B47&amp;"|"&amp;C47,'Known Players'!$F$5:$F$500,0)),"")</f>
        <v/>
      </c>
      <c r="P47">
        <f>IFERROR(INDEX('Known Players'!$G$5:$G$500,MATCH(B47&amp;"|"&amp;C47,'Known Players'!$F$5:$F$500,0)),"")</f>
        <v/>
      </c>
    </row>
    <row r="48">
      <c r="A48" t="n">
        <v>42</v>
      </c>
      <c r="B48" t="inlineStr">
        <is>
          <t>Player0615</t>
        </is>
      </c>
      <c r="C48" t="inlineStr">
        <is>
          <t>ExampleWorld196</t>
        </is>
      </c>
      <c r="D48" t="inlineStr">
        <is>
          <t>Alliance</t>
        </is>
      </c>
      <c r="E48" t="n">
        <v>7</v>
      </c>
      <c r="F48" t="n">
        <v>2</v>
      </c>
      <c r="G48" t="n">
        <v>7</v>
      </c>
      <c r="H48" s="5" t="n">
        <v>9.130827</v>
      </c>
      <c r="I48" s="5" t="n">
        <v>2.521947</v>
      </c>
      <c r="J48" t="inlineStr">
        <is>
          <t>VP: 20</t>
        </is>
      </c>
      <c r="M48">
        <f>COUNTIFS($B$5:$B$2000,B48,$C$5:$C$2000,C48)+COUNTIFS('PG Roster'!$B$5:$B$2000,B48,'PG Roster'!$C$5:$C$2000,C48)</f>
        <v/>
      </c>
      <c r="N48">
        <f>IFERROR(INDEX('Known Players'!$C$5:$C$500,MATCH(B48&amp;"|"&amp;C48,'Known Players'!$F$5:$F$500,0)),"")</f>
        <v/>
      </c>
      <c r="O48">
        <f>IFERROR(INDEX('Known Players'!$D$5:$D$500,MATCH(B48&amp;"|"&amp;C48,'Known Players'!$F$5:$F$500,0)),"")</f>
        <v/>
      </c>
      <c r="P48">
        <f>IFERROR(INDEX('Known Players'!$G$5:$G$500,MATCH(B48&amp;"|"&amp;C48,'Known Players'!$F$5:$F$500,0)),"")</f>
        <v/>
      </c>
    </row>
    <row r="49">
      <c r="A49" t="n">
        <v>42</v>
      </c>
      <c r="B49" t="inlineStr">
        <is>
          <t>Player0417</t>
        </is>
      </c>
      <c r="C49" t="inlineStr">
        <is>
          <t>ExampleWorld050</t>
        </is>
      </c>
      <c r="D49" t="inlineStr">
        <is>
          <t>Alliance</t>
        </is>
      </c>
      <c r="E49" t="n">
        <v>4</v>
      </c>
      <c r="F49" t="n">
        <v>7</v>
      </c>
      <c r="G49" t="n">
        <v>10</v>
      </c>
      <c r="H49" s="5" t="n">
        <v>9.130827</v>
      </c>
      <c r="I49" s="5" t="n">
        <v>1.749267</v>
      </c>
      <c r="J49" t="inlineStr">
        <is>
          <t>VP: 10</t>
        </is>
      </c>
      <c r="M49">
        <f>COUNTIFS($B$5:$B$2000,B49,$C$5:$C$2000,C49)+COUNTIFS('PG Roster'!$B$5:$B$2000,B49,'PG Roster'!$C$5:$C$2000,C49)</f>
        <v/>
      </c>
      <c r="N49">
        <f>IFERROR(INDEX('Known Players'!$C$5:$C$500,MATCH(B49&amp;"|"&amp;C49,'Known Players'!$F$5:$F$500,0)),"")</f>
        <v/>
      </c>
      <c r="O49">
        <f>IFERROR(INDEX('Known Players'!$D$5:$D$500,MATCH(B49&amp;"|"&amp;C49,'Known Players'!$F$5:$F$500,0)),"")</f>
        <v/>
      </c>
      <c r="P49">
        <f>IFERROR(INDEX('Known Players'!$G$5:$G$500,MATCH(B49&amp;"|"&amp;C49,'Known Players'!$F$5:$F$500,0)),"")</f>
        <v/>
      </c>
    </row>
    <row r="50">
      <c r="A50" t="n">
        <v>42</v>
      </c>
      <c r="B50" t="inlineStr">
        <is>
          <t>Player0800</t>
        </is>
      </c>
      <c r="C50" t="inlineStr">
        <is>
          <t>ExampleWorld186</t>
        </is>
      </c>
      <c r="D50" t="inlineStr">
        <is>
          <t>Alliance</t>
        </is>
      </c>
      <c r="E50" t="n">
        <v>0</v>
      </c>
      <c r="F50" t="n">
        <v>2</v>
      </c>
      <c r="G50" t="n">
        <v>7</v>
      </c>
      <c r="H50" s="5" t="n">
        <v>8.034827</v>
      </c>
      <c r="I50" s="5" t="n">
        <v>1.680767</v>
      </c>
      <c r="M50">
        <f>COUNTIFS($B$5:$B$2000,B50,$C$5:$C$2000,C50)+COUNTIFS('PG Roster'!$B$5:$B$2000,B50,'PG Roster'!$C$5:$C$2000,C50)</f>
        <v/>
      </c>
      <c r="N50">
        <f>IFERROR(INDEX('Known Players'!$C$5:$C$500,MATCH(B50&amp;"|"&amp;C50,'Known Players'!$F$5:$F$500,0)),"")</f>
        <v/>
      </c>
      <c r="O50">
        <f>IFERROR(INDEX('Known Players'!$D$5:$D$500,MATCH(B50&amp;"|"&amp;C50,'Known Players'!$F$5:$F$500,0)),"")</f>
        <v/>
      </c>
      <c r="P50">
        <f>IFERROR(INDEX('Known Players'!$G$5:$G$500,MATCH(B50&amp;"|"&amp;C50,'Known Players'!$F$5:$F$500,0)),"")</f>
        <v/>
      </c>
    </row>
    <row r="51">
      <c r="A51" t="n">
        <v>42</v>
      </c>
      <c r="B51" t="inlineStr">
        <is>
          <t>Player0771</t>
        </is>
      </c>
      <c r="C51" t="inlineStr">
        <is>
          <t>ExampleWorld019</t>
        </is>
      </c>
      <c r="D51" t="inlineStr">
        <is>
          <t>Alliance</t>
        </is>
      </c>
      <c r="E51" t="n">
        <v>0</v>
      </c>
      <c r="F51" t="n">
        <v>7</v>
      </c>
      <c r="G51" t="n">
        <v>10</v>
      </c>
      <c r="H51" s="5" t="n">
        <v>11.048827</v>
      </c>
      <c r="I51" s="5" t="n">
        <v>0.834107</v>
      </c>
      <c r="M51">
        <f>COUNTIFS($B$5:$B$2000,B51,$C$5:$C$2000,C51)+COUNTIFS('PG Roster'!$B$5:$B$2000,B51,'PG Roster'!$C$5:$C$2000,C51)</f>
        <v/>
      </c>
      <c r="N51">
        <f>IFERROR(INDEX('Known Players'!$C$5:$C$500,MATCH(B51&amp;"|"&amp;C51,'Known Players'!$F$5:$F$500,0)),"")</f>
        <v/>
      </c>
      <c r="O51">
        <f>IFERROR(INDEX('Known Players'!$D$5:$D$500,MATCH(B51&amp;"|"&amp;C51,'Known Players'!$F$5:$F$500,0)),"")</f>
        <v/>
      </c>
      <c r="P51">
        <f>IFERROR(INDEX('Known Players'!$G$5:$G$500,MATCH(B51&amp;"|"&amp;C51,'Known Players'!$F$5:$F$500,0)),"")</f>
        <v/>
      </c>
    </row>
    <row r="52">
      <c r="A52" t="n">
        <v>42</v>
      </c>
      <c r="B52" t="inlineStr">
        <is>
          <t>Player0517</t>
        </is>
      </c>
      <c r="C52" t="inlineStr">
        <is>
          <t>ExampleWorld059</t>
        </is>
      </c>
      <c r="D52" t="inlineStr">
        <is>
          <t>Alliance</t>
        </is>
      </c>
      <c r="E52" t="n">
        <v>0</v>
      </c>
      <c r="F52" t="n">
        <v>2</v>
      </c>
      <c r="G52" t="n">
        <v>7</v>
      </c>
      <c r="H52" s="5" t="n">
        <v>27.488827</v>
      </c>
      <c r="I52" s="5" t="n">
        <v>0.392967</v>
      </c>
      <c r="M52">
        <f>COUNTIFS($B$5:$B$2000,B52,$C$5:$C$2000,C52)+COUNTIFS('PG Roster'!$B$5:$B$2000,B52,'PG Roster'!$C$5:$C$2000,C52)</f>
        <v/>
      </c>
      <c r="N52">
        <f>IFERROR(INDEX('Known Players'!$C$5:$C$500,MATCH(B52&amp;"|"&amp;C52,'Known Players'!$F$5:$F$500,0)),"")</f>
        <v/>
      </c>
      <c r="O52">
        <f>IFERROR(INDEX('Known Players'!$D$5:$D$500,MATCH(B52&amp;"|"&amp;C52,'Known Players'!$F$5:$F$500,0)),"")</f>
        <v/>
      </c>
      <c r="P52">
        <f>IFERROR(INDEX('Known Players'!$G$5:$G$500,MATCH(B52&amp;"|"&amp;C52,'Known Players'!$F$5:$F$500,0)),"")</f>
        <v/>
      </c>
    </row>
    <row r="53">
      <c r="A53" t="n">
        <v>43</v>
      </c>
      <c r="B53" t="inlineStr">
        <is>
          <t>Player0641</t>
        </is>
      </c>
      <c r="C53" t="inlineStr">
        <is>
          <t>ExampleWorld195</t>
        </is>
      </c>
      <c r="D53" t="inlineStr">
        <is>
          <t>Horde</t>
        </is>
      </c>
      <c r="E53" t="n">
        <v>0</v>
      </c>
      <c r="F53" t="n">
        <v>8</v>
      </c>
      <c r="G53" t="n">
        <v>0</v>
      </c>
      <c r="H53" s="5" t="n">
        <v>0</v>
      </c>
      <c r="I53" s="5" t="n">
        <v>159.011567</v>
      </c>
      <c r="M53">
        <f>COUNTIFS($B$5:$B$2000,B53,$C$5:$C$2000,C53)+COUNTIFS('PG Roster'!$B$5:$B$2000,B53,'PG Roster'!$C$5:$C$2000,C53)</f>
        <v/>
      </c>
      <c r="N53">
        <f>IFERROR(INDEX('Known Players'!$C$5:$C$500,MATCH(B53&amp;"|"&amp;C53,'Known Players'!$F$5:$F$500,0)),"")</f>
        <v/>
      </c>
      <c r="O53">
        <f>IFERROR(INDEX('Known Players'!$D$5:$D$500,MATCH(B53&amp;"|"&amp;C53,'Known Players'!$F$5:$F$500,0)),"")</f>
        <v/>
      </c>
      <c r="P53">
        <f>IFERROR(INDEX('Known Players'!$G$5:$G$500,MATCH(B53&amp;"|"&amp;C53,'Known Players'!$F$5:$F$500,0)),"")</f>
        <v/>
      </c>
    </row>
    <row r="54">
      <c r="A54" t="n">
        <v>43</v>
      </c>
      <c r="B54" t="inlineStr">
        <is>
          <t>Mossweaver</t>
        </is>
      </c>
      <c r="C54" t="inlineStr">
        <is>
          <t>exampleworld001</t>
        </is>
      </c>
      <c r="D54" t="inlineStr">
        <is>
          <t>Horde</t>
        </is>
      </c>
      <c r="E54" t="n">
        <v>0</v>
      </c>
      <c r="F54" t="n">
        <v>5</v>
      </c>
      <c r="G54" t="n">
        <v>3</v>
      </c>
      <c r="H54" s="5" t="n">
        <v>0.201167</v>
      </c>
      <c r="I54" s="5" t="n">
        <v>149.065367</v>
      </c>
      <c r="J54" t="inlineStr">
        <is>
          <t>Graveyards defended: 1</t>
        </is>
      </c>
      <c r="M54">
        <f>COUNTIFS($B$5:$B$2000,B54,$C$5:$C$2000,C54)+COUNTIFS('PG Roster'!$B$5:$B$2000,B54,'PG Roster'!$C$5:$C$2000,C54)</f>
        <v/>
      </c>
      <c r="N54">
        <f>IFERROR(INDEX('Known Players'!$C$5:$C$500,MATCH(B54&amp;"|"&amp;C54,'Known Players'!$F$5:$F$500,0)),"")</f>
        <v/>
      </c>
      <c r="O54">
        <f>IFERROR(INDEX('Known Players'!$D$5:$D$500,MATCH(B54&amp;"|"&amp;C54,'Known Players'!$F$5:$F$500,0)),"")</f>
        <v/>
      </c>
      <c r="P54">
        <f>IFERROR(INDEX('Known Players'!$G$5:$G$500,MATCH(B54&amp;"|"&amp;C54,'Known Players'!$F$5:$F$500,0)),"")</f>
        <v/>
      </c>
    </row>
    <row r="55">
      <c r="A55" t="n">
        <v>43</v>
      </c>
      <c r="B55" t="inlineStr">
        <is>
          <t>Player0362</t>
        </is>
      </c>
      <c r="C55" t="inlineStr">
        <is>
          <t>ExampleWorld065</t>
        </is>
      </c>
      <c r="D55" t="inlineStr">
        <is>
          <t>Horde</t>
        </is>
      </c>
      <c r="E55" t="n">
        <v>0</v>
      </c>
      <c r="F55" t="n">
        <v>0</v>
      </c>
      <c r="G55" t="n">
        <v>7</v>
      </c>
      <c r="H55" s="5" t="n">
        <v>6.390827</v>
      </c>
      <c r="I55" s="5" t="n">
        <v>52.151567</v>
      </c>
      <c r="M55">
        <f>COUNTIFS($B$5:$B$2000,B55,$C$5:$C$2000,C55)+COUNTIFS('PG Roster'!$B$5:$B$2000,B55,'PG Roster'!$C$5:$C$2000,C55)</f>
        <v/>
      </c>
      <c r="N55">
        <f>IFERROR(INDEX('Known Players'!$C$5:$C$500,MATCH(B55&amp;"|"&amp;C55,'Known Players'!$F$5:$F$500,0)),"")</f>
        <v/>
      </c>
      <c r="O55">
        <f>IFERROR(INDEX('Known Players'!$D$5:$D$500,MATCH(B55&amp;"|"&amp;C55,'Known Players'!$F$5:$F$500,0)),"")</f>
        <v/>
      </c>
      <c r="P55">
        <f>IFERROR(INDEX('Known Players'!$G$5:$G$500,MATCH(B55&amp;"|"&amp;C55,'Known Players'!$F$5:$F$500,0)),"")</f>
        <v/>
      </c>
    </row>
    <row r="56">
      <c r="A56" t="n">
        <v>43</v>
      </c>
      <c r="B56" t="inlineStr">
        <is>
          <t>Player0061</t>
        </is>
      </c>
      <c r="C56" t="inlineStr">
        <is>
          <t>ExampleWorld126</t>
        </is>
      </c>
      <c r="D56" t="inlineStr">
        <is>
          <t>Horde</t>
        </is>
      </c>
      <c r="E56" t="n">
        <v>2</v>
      </c>
      <c r="F56" t="n">
        <v>8</v>
      </c>
      <c r="G56" t="n">
        <v>9</v>
      </c>
      <c r="H56" s="5" t="n">
        <v>41.188827</v>
      </c>
      <c r="I56" s="5" t="n">
        <v>25.025567</v>
      </c>
      <c r="M56">
        <f>COUNTIFS($B$5:$B$2000,B56,$C$5:$C$2000,C56)+COUNTIFS('PG Roster'!$B$5:$B$2000,B56,'PG Roster'!$C$5:$C$2000,C56)</f>
        <v/>
      </c>
      <c r="N56">
        <f>IFERROR(INDEX('Known Players'!$C$5:$C$500,MATCH(B56&amp;"|"&amp;C56,'Known Players'!$F$5:$F$500,0)),"")</f>
        <v/>
      </c>
      <c r="O56">
        <f>IFERROR(INDEX('Known Players'!$D$5:$D$500,MATCH(B56&amp;"|"&amp;C56,'Known Players'!$F$5:$F$500,0)),"")</f>
        <v/>
      </c>
      <c r="P56">
        <f>IFERROR(INDEX('Known Players'!$G$5:$G$500,MATCH(B56&amp;"|"&amp;C56,'Known Players'!$F$5:$F$500,0)),"")</f>
        <v/>
      </c>
    </row>
    <row r="57">
      <c r="A57" t="n">
        <v>43</v>
      </c>
      <c r="B57" t="inlineStr">
        <is>
          <t>Player0536</t>
        </is>
      </c>
      <c r="C57" t="inlineStr">
        <is>
          <t>ExampleWorld133</t>
        </is>
      </c>
      <c r="D57" t="inlineStr">
        <is>
          <t>Horde</t>
        </is>
      </c>
      <c r="E57" t="n">
        <v>0</v>
      </c>
      <c r="F57" t="n">
        <v>8</v>
      </c>
      <c r="G57" t="n">
        <v>0</v>
      </c>
      <c r="H57" s="5" t="n">
        <v>15.706827</v>
      </c>
      <c r="I57" s="5" t="n">
        <v>21.463567</v>
      </c>
      <c r="M57">
        <f>COUNTIFS($B$5:$B$2000,B57,$C$5:$C$2000,C57)+COUNTIFS('PG Roster'!$B$5:$B$2000,B57,'PG Roster'!$C$5:$C$2000,C57)</f>
        <v/>
      </c>
      <c r="N57">
        <f>IFERROR(INDEX('Known Players'!$C$5:$C$500,MATCH(B57&amp;"|"&amp;C57,'Known Players'!$F$5:$F$500,0)),"")</f>
        <v/>
      </c>
      <c r="O57">
        <f>IFERROR(INDEX('Known Players'!$D$5:$D$500,MATCH(B57&amp;"|"&amp;C57,'Known Players'!$F$5:$F$500,0)),"")</f>
        <v/>
      </c>
      <c r="P57">
        <f>IFERROR(INDEX('Known Players'!$G$5:$G$500,MATCH(B57&amp;"|"&amp;C57,'Known Players'!$F$5:$F$500,0)),"")</f>
        <v/>
      </c>
    </row>
    <row r="58">
      <c r="A58" t="n">
        <v>43</v>
      </c>
      <c r="B58" t="inlineStr">
        <is>
          <t>Player0357</t>
        </is>
      </c>
      <c r="C58" t="inlineStr">
        <is>
          <t>PracticeRealm</t>
        </is>
      </c>
      <c r="D58" t="inlineStr">
        <is>
          <t>Horde</t>
        </is>
      </c>
      <c r="E58" t="n">
        <v>7</v>
      </c>
      <c r="F58" t="n">
        <v>2</v>
      </c>
      <c r="G58" t="n">
        <v>0</v>
      </c>
      <c r="H58" s="5" t="n">
        <v>35.708827</v>
      </c>
      <c r="I58" s="5" t="n">
        <v>20.641567</v>
      </c>
      <c r="J58" t="inlineStr">
        <is>
          <t>Towers defended: 1</t>
        </is>
      </c>
      <c r="M58">
        <f>COUNTIFS($B$5:$B$2000,B58,$C$5:$C$2000,C58)+COUNTIFS('PG Roster'!$B$5:$B$2000,B58,'PG Roster'!$C$5:$C$2000,C58)</f>
        <v/>
      </c>
      <c r="N58">
        <f>IFERROR(INDEX('Known Players'!$C$5:$C$500,MATCH(B58&amp;"|"&amp;C58,'Known Players'!$F$5:$F$500,0)),"")</f>
        <v/>
      </c>
      <c r="O58">
        <f>IFERROR(INDEX('Known Players'!$D$5:$D$500,MATCH(B58&amp;"|"&amp;C58,'Known Players'!$F$5:$F$500,0)),"")</f>
        <v/>
      </c>
      <c r="P58">
        <f>IFERROR(INDEX('Known Players'!$G$5:$G$500,MATCH(B58&amp;"|"&amp;C58,'Known Players'!$F$5:$F$500,0)),"")</f>
        <v/>
      </c>
    </row>
    <row r="59">
      <c r="A59" t="n">
        <v>43</v>
      </c>
      <c r="B59" t="inlineStr">
        <is>
          <t>Player0455</t>
        </is>
      </c>
      <c r="C59" t="inlineStr">
        <is>
          <t>ExampleWorld048</t>
        </is>
      </c>
      <c r="D59" t="inlineStr">
        <is>
          <t>Horde</t>
        </is>
      </c>
      <c r="E59" t="n">
        <v>0</v>
      </c>
      <c r="F59" t="n">
        <v>5</v>
      </c>
      <c r="G59" t="n">
        <v>9</v>
      </c>
      <c r="H59" s="5" t="n">
        <v>35.708827</v>
      </c>
      <c r="I59" s="5" t="n">
        <v>18.997567</v>
      </c>
      <c r="M59">
        <f>COUNTIFS($B$5:$B$2000,B59,$C$5:$C$2000,C59)+COUNTIFS('PG Roster'!$B$5:$B$2000,B59,'PG Roster'!$C$5:$C$2000,C59)</f>
        <v/>
      </c>
      <c r="N59">
        <f>IFERROR(INDEX('Known Players'!$C$5:$C$500,MATCH(B59&amp;"|"&amp;C59,'Known Players'!$F$5:$F$500,0)),"")</f>
        <v/>
      </c>
      <c r="O59">
        <f>IFERROR(INDEX('Known Players'!$D$5:$D$500,MATCH(B59&amp;"|"&amp;C59,'Known Players'!$F$5:$F$500,0)),"")</f>
        <v/>
      </c>
      <c r="P59">
        <f>IFERROR(INDEX('Known Players'!$G$5:$G$500,MATCH(B59&amp;"|"&amp;C59,'Known Players'!$F$5:$F$500,0)),"")</f>
        <v/>
      </c>
    </row>
    <row r="60">
      <c r="A60" t="n">
        <v>43</v>
      </c>
      <c r="B60" t="inlineStr">
        <is>
          <t>Player0237</t>
        </is>
      </c>
      <c r="C60" t="inlineStr">
        <is>
          <t>ExampleWorld104</t>
        </is>
      </c>
      <c r="D60" t="inlineStr">
        <is>
          <t>Horde</t>
        </is>
      </c>
      <c r="E60" t="n">
        <v>0</v>
      </c>
      <c r="F60" t="n">
        <v>5</v>
      </c>
      <c r="G60" t="n">
        <v>7</v>
      </c>
      <c r="H60" s="5" t="n">
        <v>74.068827</v>
      </c>
      <c r="I60" s="5" t="n">
        <v>18.449567</v>
      </c>
      <c r="M60">
        <f>COUNTIFS($B$5:$B$2000,B60,$C$5:$C$2000,C60)+COUNTIFS('PG Roster'!$B$5:$B$2000,B60,'PG Roster'!$C$5:$C$2000,C60)</f>
        <v/>
      </c>
      <c r="N60">
        <f>IFERROR(INDEX('Known Players'!$C$5:$C$500,MATCH(B60&amp;"|"&amp;C60,'Known Players'!$F$5:$F$500,0)),"")</f>
        <v/>
      </c>
      <c r="O60">
        <f>IFERROR(INDEX('Known Players'!$D$5:$D$500,MATCH(B60&amp;"|"&amp;C60,'Known Players'!$F$5:$F$500,0)),"")</f>
        <v/>
      </c>
      <c r="P60">
        <f>IFERROR(INDEX('Known Players'!$G$5:$G$500,MATCH(B60&amp;"|"&amp;C60,'Known Players'!$F$5:$F$500,0)),"")</f>
        <v/>
      </c>
    </row>
    <row r="61">
      <c r="A61" t="n">
        <v>43</v>
      </c>
      <c r="B61" t="inlineStr">
        <is>
          <t>Player0471</t>
        </is>
      </c>
      <c r="C61" t="inlineStr">
        <is>
          <t>ExampleWorld181</t>
        </is>
      </c>
      <c r="D61" t="inlineStr">
        <is>
          <t>Horde</t>
        </is>
      </c>
      <c r="E61" t="n">
        <v>0</v>
      </c>
      <c r="F61" t="n">
        <v>8</v>
      </c>
      <c r="G61" t="n">
        <v>10</v>
      </c>
      <c r="H61" s="5" t="n">
        <v>65.848827</v>
      </c>
      <c r="I61" s="5" t="n">
        <v>15.435567</v>
      </c>
      <c r="M61">
        <f>COUNTIFS($B$5:$B$2000,B61,$C$5:$C$2000,C61)+COUNTIFS('PG Roster'!$B$5:$B$2000,B61,'PG Roster'!$C$5:$C$2000,C61)</f>
        <v/>
      </c>
      <c r="N61">
        <f>IFERROR(INDEX('Known Players'!$C$5:$C$500,MATCH(B61&amp;"|"&amp;C61,'Known Players'!$F$5:$F$500,0)),"")</f>
        <v/>
      </c>
      <c r="O61">
        <f>IFERROR(INDEX('Known Players'!$D$5:$D$500,MATCH(B61&amp;"|"&amp;C61,'Known Players'!$F$5:$F$500,0)),"")</f>
        <v/>
      </c>
      <c r="P61">
        <f>IFERROR(INDEX('Known Players'!$G$5:$G$500,MATCH(B61&amp;"|"&amp;C61,'Known Players'!$F$5:$F$500,0)),"")</f>
        <v/>
      </c>
    </row>
    <row r="62">
      <c r="A62" t="n">
        <v>43</v>
      </c>
      <c r="B62" t="inlineStr">
        <is>
          <t>Player0299</t>
        </is>
      </c>
      <c r="C62" t="inlineStr">
        <is>
          <t>ExampleWorld170</t>
        </is>
      </c>
      <c r="D62" t="inlineStr">
        <is>
          <t>Horde</t>
        </is>
      </c>
      <c r="E62" t="n">
        <v>0</v>
      </c>
      <c r="F62" t="n">
        <v>10</v>
      </c>
      <c r="G62" t="n">
        <v>3</v>
      </c>
      <c r="H62" s="5" t="n">
        <v>24.748827</v>
      </c>
      <c r="I62" s="5" t="n">
        <v>11.325567</v>
      </c>
      <c r="M62">
        <f>COUNTIFS($B$5:$B$2000,B62,$C$5:$C$2000,C62)+COUNTIFS('PG Roster'!$B$5:$B$2000,B62,'PG Roster'!$C$5:$C$2000,C62)</f>
        <v/>
      </c>
      <c r="N62">
        <f>IFERROR(INDEX('Known Players'!$C$5:$C$500,MATCH(B62&amp;"|"&amp;C62,'Known Players'!$F$5:$F$500,0)),"")</f>
        <v/>
      </c>
      <c r="O62">
        <f>IFERROR(INDEX('Known Players'!$D$5:$D$500,MATCH(B62&amp;"|"&amp;C62,'Known Players'!$F$5:$F$500,0)),"")</f>
        <v/>
      </c>
      <c r="P62">
        <f>IFERROR(INDEX('Known Players'!$G$5:$G$500,MATCH(B62&amp;"|"&amp;C62,'Known Players'!$F$5:$F$500,0)),"")</f>
        <v/>
      </c>
    </row>
    <row r="63">
      <c r="A63" t="n">
        <v>43</v>
      </c>
      <c r="B63" t="inlineStr">
        <is>
          <t>Player0858</t>
        </is>
      </c>
      <c r="C63" t="inlineStr">
        <is>
          <t>ExampleWorld150</t>
        </is>
      </c>
      <c r="D63" t="inlineStr">
        <is>
          <t>Horde</t>
        </is>
      </c>
      <c r="E63" t="n">
        <v>7</v>
      </c>
      <c r="F63" t="n">
        <v>4</v>
      </c>
      <c r="G63" t="n">
        <v>8</v>
      </c>
      <c r="H63" s="5" t="n">
        <v>25.296827</v>
      </c>
      <c r="I63" s="5" t="n">
        <v>10.777567</v>
      </c>
      <c r="M63">
        <f>COUNTIFS($B$5:$B$2000,B63,$C$5:$C$2000,C63)+COUNTIFS('PG Roster'!$B$5:$B$2000,B63,'PG Roster'!$C$5:$C$2000,C63)</f>
        <v/>
      </c>
      <c r="N63">
        <f>IFERROR(INDEX('Known Players'!$C$5:$C$500,MATCH(B63&amp;"|"&amp;C63,'Known Players'!$F$5:$F$500,0)),"")</f>
        <v/>
      </c>
      <c r="O63">
        <f>IFERROR(INDEX('Known Players'!$D$5:$D$500,MATCH(B63&amp;"|"&amp;C63,'Known Players'!$F$5:$F$500,0)),"")</f>
        <v/>
      </c>
      <c r="P63">
        <f>IFERROR(INDEX('Known Players'!$G$5:$G$500,MATCH(B63&amp;"|"&amp;C63,'Known Players'!$F$5:$F$500,0)),"")</f>
        <v/>
      </c>
    </row>
    <row r="64">
      <c r="A64" t="n">
        <v>43</v>
      </c>
      <c r="B64" t="inlineStr">
        <is>
          <t>Player0228</t>
        </is>
      </c>
      <c r="C64" t="inlineStr">
        <is>
          <t>ExampleWorld017</t>
        </is>
      </c>
      <c r="D64" t="inlineStr">
        <is>
          <t>Horde</t>
        </is>
      </c>
      <c r="E64" t="n">
        <v>0</v>
      </c>
      <c r="F64" t="n">
        <v>0</v>
      </c>
      <c r="G64" t="n">
        <v>2</v>
      </c>
      <c r="H64" s="5" t="n">
        <v>30.228827</v>
      </c>
      <c r="I64" s="5" t="n">
        <v>9.681566999999999</v>
      </c>
      <c r="M64">
        <f>COUNTIFS($B$5:$B$2000,B64,$C$5:$C$2000,C64)+COUNTIFS('PG Roster'!$B$5:$B$2000,B64,'PG Roster'!$C$5:$C$2000,C64)</f>
        <v/>
      </c>
      <c r="N64">
        <f>IFERROR(INDEX('Known Players'!$C$5:$C$500,MATCH(B64&amp;"|"&amp;C64,'Known Players'!$F$5:$F$500,0)),"")</f>
        <v/>
      </c>
      <c r="O64">
        <f>IFERROR(INDEX('Known Players'!$D$5:$D$500,MATCH(B64&amp;"|"&amp;C64,'Known Players'!$F$5:$F$500,0)),"")</f>
        <v/>
      </c>
      <c r="P64">
        <f>IFERROR(INDEX('Known Players'!$G$5:$G$500,MATCH(B64&amp;"|"&amp;C64,'Known Players'!$F$5:$F$500,0)),"")</f>
        <v/>
      </c>
    </row>
    <row r="65">
      <c r="A65" t="n">
        <v>43</v>
      </c>
      <c r="B65" t="inlineStr">
        <is>
          <t>Player0160</t>
        </is>
      </c>
      <c r="C65" t="inlineStr">
        <is>
          <t>ExampleWorld098</t>
        </is>
      </c>
      <c r="D65" t="inlineStr">
        <is>
          <t>Horde</t>
        </is>
      </c>
      <c r="E65" t="n">
        <v>0</v>
      </c>
      <c r="F65" t="n">
        <v>0</v>
      </c>
      <c r="G65" t="n">
        <v>4</v>
      </c>
      <c r="H65" s="5" t="n">
        <v>3.376827</v>
      </c>
      <c r="I65" s="5" t="n">
        <v>9.407567</v>
      </c>
      <c r="M65">
        <f>COUNTIFS($B$5:$B$2000,B65,$C$5:$C$2000,C65)+COUNTIFS('PG Roster'!$B$5:$B$2000,B65,'PG Roster'!$C$5:$C$2000,C65)</f>
        <v/>
      </c>
      <c r="N65">
        <f>IFERROR(INDEX('Known Players'!$C$5:$C$500,MATCH(B65&amp;"|"&amp;C65,'Known Players'!$F$5:$F$500,0)),"")</f>
        <v/>
      </c>
      <c r="O65">
        <f>IFERROR(INDEX('Known Players'!$D$5:$D$500,MATCH(B65&amp;"|"&amp;C65,'Known Players'!$F$5:$F$500,0)),"")</f>
        <v/>
      </c>
      <c r="P65">
        <f>IFERROR(INDEX('Known Players'!$G$5:$G$500,MATCH(B65&amp;"|"&amp;C65,'Known Players'!$F$5:$F$500,0)),"")</f>
        <v/>
      </c>
    </row>
    <row r="66">
      <c r="A66" t="n">
        <v>43</v>
      </c>
      <c r="B66" t="inlineStr">
        <is>
          <t>Emberguard</t>
        </is>
      </c>
      <c r="C66" t="inlineStr">
        <is>
          <t>SandboxRealm</t>
        </is>
      </c>
      <c r="D66" t="inlineStr">
        <is>
          <t>Horde</t>
        </is>
      </c>
      <c r="E66" t="n">
        <v>0</v>
      </c>
      <c r="F66" t="n">
        <v>1</v>
      </c>
      <c r="G66" t="n">
        <v>7</v>
      </c>
      <c r="H66" s="5" t="n">
        <v>38.448827</v>
      </c>
      <c r="I66" s="5" t="n">
        <v>8.859567</v>
      </c>
      <c r="J66" t="inlineStr">
        <is>
          <t>Graveyards assaulted: 1</t>
        </is>
      </c>
      <c r="M66">
        <f>COUNTIFS($B$5:$B$2000,B66,$C$5:$C$2000,C66)+COUNTIFS('PG Roster'!$B$5:$B$2000,B66,'PG Roster'!$C$5:$C$2000,C66)</f>
        <v/>
      </c>
      <c r="N66">
        <f>IFERROR(INDEX('Known Players'!$C$5:$C$500,MATCH(B66&amp;"|"&amp;C66,'Known Players'!$F$5:$F$500,0)),"")</f>
        <v/>
      </c>
      <c r="O66">
        <f>IFERROR(INDEX('Known Players'!$D$5:$D$500,MATCH(B66&amp;"|"&amp;C66,'Known Players'!$F$5:$F$500,0)),"")</f>
        <v/>
      </c>
      <c r="P66">
        <f>IFERROR(INDEX('Known Players'!$G$5:$G$500,MATCH(B66&amp;"|"&amp;C66,'Known Players'!$F$5:$F$500,0)),"")</f>
        <v/>
      </c>
    </row>
    <row r="67">
      <c r="A67" t="n">
        <v>43</v>
      </c>
      <c r="B67" t="inlineStr">
        <is>
          <t>Snowflare</t>
        </is>
      </c>
      <c r="C67" t="inlineStr">
        <is>
          <t>SandboxRealm</t>
        </is>
      </c>
      <c r="D67" t="inlineStr">
        <is>
          <t>Horde</t>
        </is>
      </c>
      <c r="E67" t="n">
        <v>4</v>
      </c>
      <c r="F67" t="n">
        <v>7</v>
      </c>
      <c r="G67" t="n">
        <v>5</v>
      </c>
      <c r="H67" s="5" t="n">
        <v>14.062827</v>
      </c>
      <c r="I67" s="5" t="n">
        <v>8.585566999999999</v>
      </c>
      <c r="M67">
        <f>COUNTIFS($B$5:$B$2000,B67,$C$5:$C$2000,C67)+COUNTIFS('PG Roster'!$B$5:$B$2000,B67,'PG Roster'!$C$5:$C$2000,C67)</f>
        <v/>
      </c>
      <c r="N67">
        <f>IFERROR(INDEX('Known Players'!$C$5:$C$500,MATCH(B67&amp;"|"&amp;C67,'Known Players'!$F$5:$F$500,0)),"")</f>
        <v/>
      </c>
      <c r="O67">
        <f>IFERROR(INDEX('Known Players'!$D$5:$D$500,MATCH(B67&amp;"|"&amp;C67,'Known Players'!$F$5:$F$500,0)),"")</f>
        <v/>
      </c>
      <c r="P67">
        <f>IFERROR(INDEX('Known Players'!$G$5:$G$500,MATCH(B67&amp;"|"&amp;C67,'Known Players'!$F$5:$F$500,0)),"")</f>
        <v/>
      </c>
    </row>
    <row r="68">
      <c r="A68" t="n">
        <v>43</v>
      </c>
      <c r="B68" t="inlineStr">
        <is>
          <t>Player0427</t>
        </is>
      </c>
      <c r="C68" t="inlineStr">
        <is>
          <t>ExampleWorld174</t>
        </is>
      </c>
      <c r="D68" t="inlineStr">
        <is>
          <t>Horde</t>
        </is>
      </c>
      <c r="E68" t="n">
        <v>10</v>
      </c>
      <c r="F68" t="n">
        <v>4</v>
      </c>
      <c r="G68" t="n">
        <v>2</v>
      </c>
      <c r="H68" s="5" t="n">
        <v>30.228827</v>
      </c>
      <c r="I68" s="5" t="n">
        <v>8.311567</v>
      </c>
      <c r="J68" t="inlineStr">
        <is>
          <t>Graveyards assaulted: 1</t>
        </is>
      </c>
      <c r="M68">
        <f>COUNTIFS($B$5:$B$2000,B68,$C$5:$C$2000,C68)+COUNTIFS('PG Roster'!$B$5:$B$2000,B68,'PG Roster'!$C$5:$C$2000,C68)</f>
        <v/>
      </c>
      <c r="N68">
        <f>IFERROR(INDEX('Known Players'!$C$5:$C$500,MATCH(B68&amp;"|"&amp;C68,'Known Players'!$F$5:$F$500,0)),"")</f>
        <v/>
      </c>
      <c r="O68">
        <f>IFERROR(INDEX('Known Players'!$D$5:$D$500,MATCH(B68&amp;"|"&amp;C68,'Known Players'!$F$5:$F$500,0)),"")</f>
        <v/>
      </c>
      <c r="P68">
        <f>IFERROR(INDEX('Known Players'!$G$5:$G$500,MATCH(B68&amp;"|"&amp;C68,'Known Players'!$F$5:$F$500,0)),"")</f>
        <v/>
      </c>
    </row>
    <row r="69">
      <c r="A69" t="n">
        <v>43</v>
      </c>
      <c r="B69" t="inlineStr">
        <is>
          <t>Player0010</t>
        </is>
      </c>
      <c r="C69" t="inlineStr">
        <is>
          <t>SandboxRealm</t>
        </is>
      </c>
      <c r="D69" t="inlineStr">
        <is>
          <t>Alliance</t>
        </is>
      </c>
      <c r="E69" t="n">
        <v>7</v>
      </c>
      <c r="F69" t="n">
        <v>5</v>
      </c>
      <c r="G69" t="n">
        <v>0</v>
      </c>
      <c r="H69" s="5" t="n">
        <v>4.746827</v>
      </c>
      <c r="I69" s="5" t="n">
        <v>186.411567</v>
      </c>
      <c r="M69">
        <f>COUNTIFS($B$5:$B$2000,B69,$C$5:$C$2000,C69)+COUNTIFS('PG Roster'!$B$5:$B$2000,B69,'PG Roster'!$C$5:$C$2000,C69)</f>
        <v/>
      </c>
      <c r="N69">
        <f>IFERROR(INDEX('Known Players'!$C$5:$C$500,MATCH(B69&amp;"|"&amp;C69,'Known Players'!$F$5:$F$500,0)),"")</f>
        <v/>
      </c>
      <c r="O69">
        <f>IFERROR(INDEX('Known Players'!$D$5:$D$500,MATCH(B69&amp;"|"&amp;C69,'Known Players'!$F$5:$F$500,0)),"")</f>
        <v/>
      </c>
      <c r="P69">
        <f>IFERROR(INDEX('Known Players'!$G$5:$G$500,MATCH(B69&amp;"|"&amp;C69,'Known Players'!$F$5:$F$500,0)),"")</f>
        <v/>
      </c>
    </row>
    <row r="70">
      <c r="A70" t="n">
        <v>43</v>
      </c>
      <c r="B70" t="inlineStr">
        <is>
          <t>Player0776</t>
        </is>
      </c>
      <c r="C70" t="inlineStr">
        <is>
          <t>ExampleWorld126</t>
        </is>
      </c>
      <c r="D70" t="inlineStr">
        <is>
          <t>Alliance</t>
        </is>
      </c>
      <c r="E70" t="n">
        <v>0</v>
      </c>
      <c r="F70" t="n">
        <v>9</v>
      </c>
      <c r="G70" t="n">
        <v>4</v>
      </c>
      <c r="H70" s="5" t="n">
        <v>15.158827</v>
      </c>
      <c r="I70" s="5" t="n">
        <v>128.871567</v>
      </c>
      <c r="M70">
        <f>COUNTIFS($B$5:$B$2000,B70,$C$5:$C$2000,C70)+COUNTIFS('PG Roster'!$B$5:$B$2000,B70,'PG Roster'!$C$5:$C$2000,C70)</f>
        <v/>
      </c>
      <c r="N70">
        <f>IFERROR(INDEX('Known Players'!$C$5:$C$500,MATCH(B70&amp;"|"&amp;C70,'Known Players'!$F$5:$F$500,0)),"")</f>
        <v/>
      </c>
      <c r="O70">
        <f>IFERROR(INDEX('Known Players'!$D$5:$D$500,MATCH(B70&amp;"|"&amp;C70,'Known Players'!$F$5:$F$500,0)),"")</f>
        <v/>
      </c>
      <c r="P70">
        <f>IFERROR(INDEX('Known Players'!$G$5:$G$500,MATCH(B70&amp;"|"&amp;C70,'Known Players'!$F$5:$F$500,0)),"")</f>
        <v/>
      </c>
    </row>
    <row r="71">
      <c r="A71" t="n">
        <v>43</v>
      </c>
      <c r="B71" t="inlineStr">
        <is>
          <t>Player0598</t>
        </is>
      </c>
      <c r="C71" t="inlineStr">
        <is>
          <t>ExampleWorld188</t>
        </is>
      </c>
      <c r="D71" t="inlineStr">
        <is>
          <t>Alliance</t>
        </is>
      </c>
      <c r="E71" t="n">
        <v>7</v>
      </c>
      <c r="F71" t="n">
        <v>7</v>
      </c>
      <c r="G71" t="n">
        <v>4</v>
      </c>
      <c r="H71" s="5" t="n">
        <v>10.500827</v>
      </c>
      <c r="I71" s="5" t="n">
        <v>95.991567</v>
      </c>
      <c r="M71">
        <f>COUNTIFS($B$5:$B$2000,B71,$C$5:$C$2000,C71)+COUNTIFS('PG Roster'!$B$5:$B$2000,B71,'PG Roster'!$C$5:$C$2000,C71)</f>
        <v/>
      </c>
      <c r="N71">
        <f>IFERROR(INDEX('Known Players'!$C$5:$C$500,MATCH(B71&amp;"|"&amp;C71,'Known Players'!$F$5:$F$500,0)),"")</f>
        <v/>
      </c>
      <c r="O71">
        <f>IFERROR(INDEX('Known Players'!$D$5:$D$500,MATCH(B71&amp;"|"&amp;C71,'Known Players'!$F$5:$F$500,0)),"")</f>
        <v/>
      </c>
      <c r="P71">
        <f>IFERROR(INDEX('Known Players'!$G$5:$G$500,MATCH(B71&amp;"|"&amp;C71,'Known Players'!$F$5:$F$500,0)),"")</f>
        <v/>
      </c>
    </row>
    <row r="72">
      <c r="A72" t="n">
        <v>43</v>
      </c>
      <c r="B72" t="inlineStr">
        <is>
          <t>Player0624</t>
        </is>
      </c>
      <c r="C72" t="inlineStr">
        <is>
          <t>ExampleWorld196</t>
        </is>
      </c>
      <c r="D72" t="inlineStr">
        <is>
          <t>Alliance</t>
        </is>
      </c>
      <c r="E72" t="n">
        <v>4</v>
      </c>
      <c r="F72" t="n">
        <v>5</v>
      </c>
      <c r="G72" t="n">
        <v>0</v>
      </c>
      <c r="H72" s="5" t="n">
        <v>12.966827</v>
      </c>
      <c r="I72" s="5" t="n">
        <v>93.25156699999999</v>
      </c>
      <c r="J72" t="inlineStr">
        <is>
          <t>Graveyards assaulted: 1, Towers assaulted: 1</t>
        </is>
      </c>
      <c r="M72">
        <f>COUNTIFS($B$5:$B$2000,B72,$C$5:$C$2000,C72)+COUNTIFS('PG Roster'!$B$5:$B$2000,B72,'PG Roster'!$C$5:$C$2000,C72)</f>
        <v/>
      </c>
      <c r="N72">
        <f>IFERROR(INDEX('Known Players'!$C$5:$C$500,MATCH(B72&amp;"|"&amp;C72,'Known Players'!$F$5:$F$500,0)),"")</f>
        <v/>
      </c>
      <c r="O72">
        <f>IFERROR(INDEX('Known Players'!$D$5:$D$500,MATCH(B72&amp;"|"&amp;C72,'Known Players'!$F$5:$F$500,0)),"")</f>
        <v/>
      </c>
      <c r="P72">
        <f>IFERROR(INDEX('Known Players'!$G$5:$G$500,MATCH(B72&amp;"|"&amp;C72,'Known Players'!$F$5:$F$500,0)),"")</f>
        <v/>
      </c>
    </row>
    <row r="73">
      <c r="A73" t="n">
        <v>43</v>
      </c>
      <c r="B73" t="inlineStr">
        <is>
          <t>Player0071</t>
        </is>
      </c>
      <c r="C73" t="inlineStr">
        <is>
          <t>ExampleWorld133</t>
        </is>
      </c>
      <c r="D73" t="inlineStr">
        <is>
          <t>Alliance</t>
        </is>
      </c>
      <c r="E73" t="n">
        <v>4</v>
      </c>
      <c r="F73" t="n">
        <v>10</v>
      </c>
      <c r="G73" t="n">
        <v>0</v>
      </c>
      <c r="H73" s="5" t="n">
        <v>2.828827</v>
      </c>
      <c r="I73" s="5" t="n">
        <v>76.811567</v>
      </c>
      <c r="M73">
        <f>COUNTIFS($B$5:$B$2000,B73,$C$5:$C$2000,C73)+COUNTIFS('PG Roster'!$B$5:$B$2000,B73,'PG Roster'!$C$5:$C$2000,C73)</f>
        <v/>
      </c>
      <c r="N73">
        <f>IFERROR(INDEX('Known Players'!$C$5:$C$500,MATCH(B73&amp;"|"&amp;C73,'Known Players'!$F$5:$F$500,0)),"")</f>
        <v/>
      </c>
      <c r="O73">
        <f>IFERROR(INDEX('Known Players'!$D$5:$D$500,MATCH(B73&amp;"|"&amp;C73,'Known Players'!$F$5:$F$500,0)),"")</f>
        <v/>
      </c>
      <c r="P73">
        <f>IFERROR(INDEX('Known Players'!$G$5:$G$500,MATCH(B73&amp;"|"&amp;C73,'Known Players'!$F$5:$F$500,0)),"")</f>
        <v/>
      </c>
    </row>
    <row r="74">
      <c r="A74" t="n">
        <v>43</v>
      </c>
      <c r="B74" t="inlineStr">
        <is>
          <t>Player0058</t>
        </is>
      </c>
      <c r="C74" t="inlineStr">
        <is>
          <t>ExampleWorld097</t>
        </is>
      </c>
      <c r="D74" t="inlineStr">
        <is>
          <t>Alliance</t>
        </is>
      </c>
      <c r="E74" t="n">
        <v>0</v>
      </c>
      <c r="F74" t="n">
        <v>2</v>
      </c>
      <c r="G74" t="n">
        <v>0</v>
      </c>
      <c r="H74" s="5" t="n">
        <v>8.034827</v>
      </c>
      <c r="I74" s="5" t="n">
        <v>54.891567</v>
      </c>
      <c r="M74">
        <f>COUNTIFS($B$5:$B$2000,B74,$C$5:$C$2000,C74)+COUNTIFS('PG Roster'!$B$5:$B$2000,B74,'PG Roster'!$C$5:$C$2000,C74)</f>
        <v/>
      </c>
      <c r="N74">
        <f>IFERROR(INDEX('Known Players'!$C$5:$C$500,MATCH(B74&amp;"|"&amp;C74,'Known Players'!$F$5:$F$500,0)),"")</f>
        <v/>
      </c>
      <c r="O74">
        <f>IFERROR(INDEX('Known Players'!$D$5:$D$500,MATCH(B74&amp;"|"&amp;C74,'Known Players'!$F$5:$F$500,0)),"")</f>
        <v/>
      </c>
      <c r="P74">
        <f>IFERROR(INDEX('Known Players'!$G$5:$G$500,MATCH(B74&amp;"|"&amp;C74,'Known Players'!$F$5:$F$500,0)),"")</f>
        <v/>
      </c>
    </row>
    <row r="75">
      <c r="A75" t="n">
        <v>43</v>
      </c>
      <c r="B75" t="inlineStr">
        <is>
          <t>Player0588</t>
        </is>
      </c>
      <c r="C75" t="inlineStr">
        <is>
          <t>ExampleWorld138</t>
        </is>
      </c>
      <c r="D75" t="inlineStr">
        <is>
          <t>Alliance</t>
        </is>
      </c>
      <c r="E75" t="n">
        <v>6</v>
      </c>
      <c r="F75" t="n">
        <v>7</v>
      </c>
      <c r="G75" t="n">
        <v>7</v>
      </c>
      <c r="H75" s="5" t="n">
        <v>137.088827</v>
      </c>
      <c r="I75" s="5" t="n">
        <v>35.711567</v>
      </c>
      <c r="M75">
        <f>COUNTIFS($B$5:$B$2000,B75,$C$5:$C$2000,C75)+COUNTIFS('PG Roster'!$B$5:$B$2000,B75,'PG Roster'!$C$5:$C$2000,C75)</f>
        <v/>
      </c>
      <c r="N75">
        <f>IFERROR(INDEX('Known Players'!$C$5:$C$500,MATCH(B75&amp;"|"&amp;C75,'Known Players'!$F$5:$F$500,0)),"")</f>
        <v/>
      </c>
      <c r="O75">
        <f>IFERROR(INDEX('Known Players'!$D$5:$D$500,MATCH(B75&amp;"|"&amp;C75,'Known Players'!$F$5:$F$500,0)),"")</f>
        <v/>
      </c>
      <c r="P75">
        <f>IFERROR(INDEX('Known Players'!$G$5:$G$500,MATCH(B75&amp;"|"&amp;C75,'Known Players'!$F$5:$F$500,0)),"")</f>
        <v/>
      </c>
    </row>
    <row r="76">
      <c r="A76" t="n">
        <v>43</v>
      </c>
      <c r="B76" t="inlineStr">
        <is>
          <t>Player0469</t>
        </is>
      </c>
      <c r="C76" t="inlineStr">
        <is>
          <t>ExampleWorld133</t>
        </is>
      </c>
      <c r="D76" t="inlineStr">
        <is>
          <t>Alliance</t>
        </is>
      </c>
      <c r="E76" t="n">
        <v>2</v>
      </c>
      <c r="F76" t="n">
        <v>7</v>
      </c>
      <c r="G76" t="n">
        <v>0</v>
      </c>
      <c r="H76" s="5" t="n">
        <v>117.908827</v>
      </c>
      <c r="I76" s="5" t="n">
        <v>32.971567</v>
      </c>
      <c r="M76">
        <f>COUNTIFS($B$5:$B$2000,B76,$C$5:$C$2000,C76)+COUNTIFS('PG Roster'!$B$5:$B$2000,B76,'PG Roster'!$C$5:$C$2000,C76)</f>
        <v/>
      </c>
      <c r="N76">
        <f>IFERROR(INDEX('Known Players'!$C$5:$C$500,MATCH(B76&amp;"|"&amp;C76,'Known Players'!$F$5:$F$500,0)),"")</f>
        <v/>
      </c>
      <c r="O76">
        <f>IFERROR(INDEX('Known Players'!$D$5:$D$500,MATCH(B76&amp;"|"&amp;C76,'Known Players'!$F$5:$F$500,0)),"")</f>
        <v/>
      </c>
      <c r="P76">
        <f>IFERROR(INDEX('Known Players'!$G$5:$G$500,MATCH(B76&amp;"|"&amp;C76,'Known Players'!$F$5:$F$500,0)),"")</f>
        <v/>
      </c>
    </row>
    <row r="77">
      <c r="A77" t="n">
        <v>43</v>
      </c>
      <c r="B77" t="inlineStr">
        <is>
          <t>Player0856</t>
        </is>
      </c>
      <c r="C77" t="inlineStr">
        <is>
          <t>SandboxRealm</t>
        </is>
      </c>
      <c r="D77" t="inlineStr">
        <is>
          <t>Alliance</t>
        </is>
      </c>
      <c r="E77" t="n">
        <v>10</v>
      </c>
      <c r="F77" t="n">
        <v>2</v>
      </c>
      <c r="G77" t="n">
        <v>4</v>
      </c>
      <c r="H77" s="5" t="n">
        <v>219.288827</v>
      </c>
      <c r="I77" s="5" t="n">
        <v>22.559567</v>
      </c>
      <c r="M77">
        <f>COUNTIFS($B$5:$B$2000,B77,$C$5:$C$2000,C77)+COUNTIFS('PG Roster'!$B$5:$B$2000,B77,'PG Roster'!$C$5:$C$2000,C77)</f>
        <v/>
      </c>
      <c r="N77">
        <f>IFERROR(INDEX('Known Players'!$C$5:$C$500,MATCH(B77&amp;"|"&amp;C77,'Known Players'!$F$5:$F$500,0)),"")</f>
        <v/>
      </c>
      <c r="O77">
        <f>IFERROR(INDEX('Known Players'!$D$5:$D$500,MATCH(B77&amp;"|"&amp;C77,'Known Players'!$F$5:$F$500,0)),"")</f>
        <v/>
      </c>
      <c r="P77">
        <f>IFERROR(INDEX('Known Players'!$G$5:$G$500,MATCH(B77&amp;"|"&amp;C77,'Known Players'!$F$5:$F$500,0)),"")</f>
        <v/>
      </c>
    </row>
    <row r="78">
      <c r="A78" t="n">
        <v>44</v>
      </c>
      <c r="B78" t="inlineStr">
        <is>
          <t>Player0601</t>
        </is>
      </c>
      <c r="C78" t="inlineStr">
        <is>
          <t>ExampleWorld125</t>
        </is>
      </c>
      <c r="D78" t="inlineStr">
        <is>
          <t>Horde</t>
        </is>
      </c>
      <c r="E78" t="n">
        <v>0</v>
      </c>
      <c r="F78" t="n">
        <v>9</v>
      </c>
      <c r="G78" t="n">
        <v>10</v>
      </c>
      <c r="H78" s="5" t="n">
        <v>27.488827</v>
      </c>
      <c r="I78" s="5" t="n">
        <v>131.611567</v>
      </c>
      <c r="M78">
        <f>COUNTIFS($B$5:$B$2000,B78,$C$5:$C$2000,C78)+COUNTIFS('PG Roster'!$B$5:$B$2000,B78,'PG Roster'!$C$5:$C$2000,C78)</f>
        <v/>
      </c>
      <c r="N78">
        <f>IFERROR(INDEX('Known Players'!$C$5:$C$500,MATCH(B78&amp;"|"&amp;C78,'Known Players'!$F$5:$F$500,0)),"")</f>
        <v/>
      </c>
      <c r="O78">
        <f>IFERROR(INDEX('Known Players'!$D$5:$D$500,MATCH(B78&amp;"|"&amp;C78,'Known Players'!$F$5:$F$500,0)),"")</f>
        <v/>
      </c>
      <c r="P78">
        <f>IFERROR(INDEX('Known Players'!$G$5:$G$500,MATCH(B78&amp;"|"&amp;C78,'Known Players'!$F$5:$F$500,0)),"")</f>
        <v/>
      </c>
    </row>
    <row r="79">
      <c r="A79" t="n">
        <v>44</v>
      </c>
      <c r="B79" t="inlineStr">
        <is>
          <t>Player0826</t>
        </is>
      </c>
      <c r="C79" t="inlineStr">
        <is>
          <t>ExampleWorld194</t>
        </is>
      </c>
      <c r="D79" t="inlineStr">
        <is>
          <t>Horde</t>
        </is>
      </c>
      <c r="E79" t="n">
        <v>0</v>
      </c>
      <c r="F79" t="n">
        <v>4</v>
      </c>
      <c r="G79" t="n">
        <v>2</v>
      </c>
      <c r="H79" s="5" t="n">
        <v>20.090827</v>
      </c>
      <c r="I79" s="5" t="n">
        <v>112.431567</v>
      </c>
      <c r="J79" t="inlineStr">
        <is>
          <t>Carts captured: 2</t>
        </is>
      </c>
      <c r="M79">
        <f>COUNTIFS($B$5:$B$2000,B79,$C$5:$C$2000,C79)+COUNTIFS('PG Roster'!$B$5:$B$2000,B79,'PG Roster'!$C$5:$C$2000,C79)</f>
        <v/>
      </c>
      <c r="N79">
        <f>IFERROR(INDEX('Known Players'!$C$5:$C$500,MATCH(B79&amp;"|"&amp;C79,'Known Players'!$F$5:$F$500,0)),"")</f>
        <v/>
      </c>
      <c r="O79">
        <f>IFERROR(INDEX('Known Players'!$D$5:$D$500,MATCH(B79&amp;"|"&amp;C79,'Known Players'!$F$5:$F$500,0)),"")</f>
        <v/>
      </c>
      <c r="P79">
        <f>IFERROR(INDEX('Known Players'!$G$5:$G$500,MATCH(B79&amp;"|"&amp;C79,'Known Players'!$F$5:$F$500,0)),"")</f>
        <v/>
      </c>
    </row>
    <row r="80">
      <c r="A80" t="n">
        <v>44</v>
      </c>
      <c r="B80" t="inlineStr">
        <is>
          <t>Mossweaver</t>
        </is>
      </c>
      <c r="C80" t="inlineStr">
        <is>
          <t>exampleworld001</t>
        </is>
      </c>
      <c r="D80" t="inlineStr">
        <is>
          <t>Horde</t>
        </is>
      </c>
      <c r="E80" t="n">
        <v>2</v>
      </c>
      <c r="F80" t="n">
        <v>2</v>
      </c>
      <c r="G80" t="n">
        <v>2</v>
      </c>
      <c r="H80" s="5" t="n">
        <v>8.528027</v>
      </c>
      <c r="I80" s="5" t="n">
        <v>112.458967</v>
      </c>
      <c r="M80">
        <f>COUNTIFS($B$5:$B$2000,B80,$C$5:$C$2000,C80)+COUNTIFS('PG Roster'!$B$5:$B$2000,B80,'PG Roster'!$C$5:$C$2000,C80)</f>
        <v/>
      </c>
      <c r="N80">
        <f>IFERROR(INDEX('Known Players'!$C$5:$C$500,MATCH(B80&amp;"|"&amp;C80,'Known Players'!$F$5:$F$500,0)),"")</f>
        <v/>
      </c>
      <c r="O80">
        <f>IFERROR(INDEX('Known Players'!$D$5:$D$500,MATCH(B80&amp;"|"&amp;C80,'Known Players'!$F$5:$F$500,0)),"")</f>
        <v/>
      </c>
      <c r="P80">
        <f>IFERROR(INDEX('Known Players'!$G$5:$G$500,MATCH(B80&amp;"|"&amp;C80,'Known Players'!$F$5:$F$500,0)),"")</f>
        <v/>
      </c>
    </row>
    <row r="81">
      <c r="A81" t="n">
        <v>44</v>
      </c>
      <c r="B81" t="inlineStr">
        <is>
          <t>Player0894</t>
        </is>
      </c>
      <c r="C81" t="inlineStr">
        <is>
          <t>ExampleWorld126</t>
        </is>
      </c>
      <c r="D81" t="inlineStr">
        <is>
          <t>Horde</t>
        </is>
      </c>
      <c r="E81" t="n">
        <v>0</v>
      </c>
      <c r="F81" t="n">
        <v>10</v>
      </c>
      <c r="G81" t="n">
        <v>10</v>
      </c>
      <c r="H81" s="5" t="n">
        <v>123.388827</v>
      </c>
      <c r="I81" s="5" t="n">
        <v>30.231567</v>
      </c>
      <c r="M81">
        <f>COUNTIFS($B$5:$B$2000,B81,$C$5:$C$2000,C81)+COUNTIFS('PG Roster'!$B$5:$B$2000,B81,'PG Roster'!$C$5:$C$2000,C81)</f>
        <v/>
      </c>
      <c r="N81">
        <f>IFERROR(INDEX('Known Players'!$C$5:$C$500,MATCH(B81&amp;"|"&amp;C81,'Known Players'!$F$5:$F$500,0)),"")</f>
        <v/>
      </c>
      <c r="O81">
        <f>IFERROR(INDEX('Known Players'!$D$5:$D$500,MATCH(B81&amp;"|"&amp;C81,'Known Players'!$F$5:$F$500,0)),"")</f>
        <v/>
      </c>
      <c r="P81">
        <f>IFERROR(INDEX('Known Players'!$G$5:$G$500,MATCH(B81&amp;"|"&amp;C81,'Known Players'!$F$5:$F$500,0)),"")</f>
        <v/>
      </c>
    </row>
    <row r="82">
      <c r="A82" t="n">
        <v>44</v>
      </c>
      <c r="B82" t="inlineStr">
        <is>
          <t>Player0747</t>
        </is>
      </c>
      <c r="C82" t="inlineStr">
        <is>
          <t>ExampleWorld169</t>
        </is>
      </c>
      <c r="D82" t="inlineStr">
        <is>
          <t>Horde</t>
        </is>
      </c>
      <c r="E82" t="n">
        <v>7</v>
      </c>
      <c r="F82" t="n">
        <v>3</v>
      </c>
      <c r="G82" t="n">
        <v>2</v>
      </c>
      <c r="H82" s="5" t="n">
        <v>43.928827</v>
      </c>
      <c r="I82" s="5" t="n">
        <v>25.573567</v>
      </c>
      <c r="M82">
        <f>COUNTIFS($B$5:$B$2000,B82,$C$5:$C$2000,C82)+COUNTIFS('PG Roster'!$B$5:$B$2000,B82,'PG Roster'!$C$5:$C$2000,C82)</f>
        <v/>
      </c>
      <c r="N82">
        <f>IFERROR(INDEX('Known Players'!$C$5:$C$500,MATCH(B82&amp;"|"&amp;C82,'Known Players'!$F$5:$F$500,0)),"")</f>
        <v/>
      </c>
      <c r="O82">
        <f>IFERROR(INDEX('Known Players'!$D$5:$D$500,MATCH(B82&amp;"|"&amp;C82,'Known Players'!$F$5:$F$500,0)),"")</f>
        <v/>
      </c>
      <c r="P82">
        <f>IFERROR(INDEX('Known Players'!$G$5:$G$500,MATCH(B82&amp;"|"&amp;C82,'Known Players'!$F$5:$F$500,0)),"")</f>
        <v/>
      </c>
    </row>
    <row r="83">
      <c r="A83" t="n">
        <v>44</v>
      </c>
      <c r="B83" t="inlineStr">
        <is>
          <t>Player0228</t>
        </is>
      </c>
      <c r="C83" t="inlineStr">
        <is>
          <t>ExampleWorld017</t>
        </is>
      </c>
      <c r="D83" t="inlineStr">
        <is>
          <t>Horde</t>
        </is>
      </c>
      <c r="E83" t="n">
        <v>4</v>
      </c>
      <c r="F83" t="n">
        <v>1</v>
      </c>
      <c r="G83" t="n">
        <v>8</v>
      </c>
      <c r="H83" s="5" t="n">
        <v>52.148827</v>
      </c>
      <c r="I83" s="5" t="n">
        <v>22.011567</v>
      </c>
      <c r="J83" t="inlineStr">
        <is>
          <t>Carts captured: 1</t>
        </is>
      </c>
      <c r="M83">
        <f>COUNTIFS($B$5:$B$2000,B83,$C$5:$C$2000,C83)+COUNTIFS('PG Roster'!$B$5:$B$2000,B83,'PG Roster'!$C$5:$C$2000,C83)</f>
        <v/>
      </c>
      <c r="N83">
        <f>IFERROR(INDEX('Known Players'!$C$5:$C$500,MATCH(B83&amp;"|"&amp;C83,'Known Players'!$F$5:$F$500,0)),"")</f>
        <v/>
      </c>
      <c r="O83">
        <f>IFERROR(INDEX('Known Players'!$D$5:$D$500,MATCH(B83&amp;"|"&amp;C83,'Known Players'!$F$5:$F$500,0)),"")</f>
        <v/>
      </c>
      <c r="P83">
        <f>IFERROR(INDEX('Known Players'!$G$5:$G$500,MATCH(B83&amp;"|"&amp;C83,'Known Players'!$F$5:$F$500,0)),"")</f>
        <v/>
      </c>
    </row>
    <row r="84">
      <c r="A84" t="n">
        <v>44</v>
      </c>
      <c r="B84" t="inlineStr">
        <is>
          <t>Player0513</t>
        </is>
      </c>
      <c r="C84" t="inlineStr">
        <is>
          <t>ExampleWorld070</t>
        </is>
      </c>
      <c r="D84" t="inlineStr">
        <is>
          <t>Horde</t>
        </is>
      </c>
      <c r="E84" t="n">
        <v>7</v>
      </c>
      <c r="F84" t="n">
        <v>6</v>
      </c>
      <c r="G84" t="n">
        <v>0</v>
      </c>
      <c r="H84" s="5" t="n">
        <v>30.228827</v>
      </c>
      <c r="I84" s="5" t="n">
        <v>22.011567</v>
      </c>
      <c r="M84">
        <f>COUNTIFS($B$5:$B$2000,B84,$C$5:$C$2000,C84)+COUNTIFS('PG Roster'!$B$5:$B$2000,B84,'PG Roster'!$C$5:$C$2000,C84)</f>
        <v/>
      </c>
      <c r="N84">
        <f>IFERROR(INDEX('Known Players'!$C$5:$C$500,MATCH(B84&amp;"|"&amp;C84,'Known Players'!$F$5:$F$500,0)),"")</f>
        <v/>
      </c>
      <c r="O84">
        <f>IFERROR(INDEX('Known Players'!$D$5:$D$500,MATCH(B84&amp;"|"&amp;C84,'Known Players'!$F$5:$F$500,0)),"")</f>
        <v/>
      </c>
      <c r="P84">
        <f>IFERROR(INDEX('Known Players'!$G$5:$G$500,MATCH(B84&amp;"|"&amp;C84,'Known Players'!$F$5:$F$500,0)),"")</f>
        <v/>
      </c>
    </row>
    <row r="85">
      <c r="A85" t="n">
        <v>44</v>
      </c>
      <c r="B85" t="inlineStr">
        <is>
          <t>Snowflare</t>
        </is>
      </c>
      <c r="C85" t="inlineStr">
        <is>
          <t>SandboxRealm</t>
        </is>
      </c>
      <c r="D85" t="inlineStr">
        <is>
          <t>Horde</t>
        </is>
      </c>
      <c r="E85" t="n">
        <v>5</v>
      </c>
      <c r="F85" t="n">
        <v>2</v>
      </c>
      <c r="G85" t="n">
        <v>2</v>
      </c>
      <c r="H85" s="5" t="n">
        <v>68.58882699999999</v>
      </c>
      <c r="I85" s="5" t="n">
        <v>19.271567</v>
      </c>
      <c r="M85">
        <f>COUNTIFS($B$5:$B$2000,B85,$C$5:$C$2000,C85)+COUNTIFS('PG Roster'!$B$5:$B$2000,B85,'PG Roster'!$C$5:$C$2000,C85)</f>
        <v/>
      </c>
      <c r="N85">
        <f>IFERROR(INDEX('Known Players'!$C$5:$C$500,MATCH(B85&amp;"|"&amp;C85,'Known Players'!$F$5:$F$500,0)),"")</f>
        <v/>
      </c>
      <c r="O85">
        <f>IFERROR(INDEX('Known Players'!$D$5:$D$500,MATCH(B85&amp;"|"&amp;C85,'Known Players'!$F$5:$F$500,0)),"")</f>
        <v/>
      </c>
      <c r="P85">
        <f>IFERROR(INDEX('Known Players'!$G$5:$G$500,MATCH(B85&amp;"|"&amp;C85,'Known Players'!$F$5:$F$500,0)),"")</f>
        <v/>
      </c>
    </row>
    <row r="86">
      <c r="A86" t="n">
        <v>44</v>
      </c>
      <c r="B86" t="inlineStr">
        <is>
          <t>Player0209</t>
        </is>
      </c>
      <c r="C86" t="inlineStr">
        <is>
          <t>ExampleWorld075</t>
        </is>
      </c>
      <c r="D86" t="inlineStr">
        <is>
          <t>Horde</t>
        </is>
      </c>
      <c r="E86" t="n">
        <v>0</v>
      </c>
      <c r="F86" t="n">
        <v>7</v>
      </c>
      <c r="G86" t="n">
        <v>7</v>
      </c>
      <c r="H86" s="5" t="n">
        <v>57.628827</v>
      </c>
      <c r="I86" s="5" t="n">
        <v>15.983567</v>
      </c>
      <c r="M86">
        <f>COUNTIFS($B$5:$B$2000,B86,$C$5:$C$2000,C86)+COUNTIFS('PG Roster'!$B$5:$B$2000,B86,'PG Roster'!$C$5:$C$2000,C86)</f>
        <v/>
      </c>
      <c r="N86">
        <f>IFERROR(INDEX('Known Players'!$C$5:$C$500,MATCH(B86&amp;"|"&amp;C86,'Known Players'!$F$5:$F$500,0)),"")</f>
        <v/>
      </c>
      <c r="O86">
        <f>IFERROR(INDEX('Known Players'!$D$5:$D$500,MATCH(B86&amp;"|"&amp;C86,'Known Players'!$F$5:$F$500,0)),"")</f>
        <v/>
      </c>
      <c r="P86">
        <f>IFERROR(INDEX('Known Players'!$G$5:$G$500,MATCH(B86&amp;"|"&amp;C86,'Known Players'!$F$5:$F$500,0)),"")</f>
        <v/>
      </c>
    </row>
    <row r="87">
      <c r="A87" t="n">
        <v>44</v>
      </c>
      <c r="B87" t="inlineStr">
        <is>
          <t>Player0796</t>
        </is>
      </c>
      <c r="C87" t="inlineStr">
        <is>
          <t>ExampleWorld174</t>
        </is>
      </c>
      <c r="D87" t="inlineStr">
        <is>
          <t>Horde</t>
        </is>
      </c>
      <c r="E87" t="n">
        <v>8</v>
      </c>
      <c r="F87" t="n">
        <v>7</v>
      </c>
      <c r="G87" t="n">
        <v>8</v>
      </c>
      <c r="H87" s="5" t="n">
        <v>63.108827</v>
      </c>
      <c r="I87" s="5" t="n">
        <v>14.613567</v>
      </c>
      <c r="M87">
        <f>COUNTIFS($B$5:$B$2000,B87,$C$5:$C$2000,C87)+COUNTIFS('PG Roster'!$B$5:$B$2000,B87,'PG Roster'!$C$5:$C$2000,C87)</f>
        <v/>
      </c>
      <c r="N87">
        <f>IFERROR(INDEX('Known Players'!$C$5:$C$500,MATCH(B87&amp;"|"&amp;C87,'Known Players'!$F$5:$F$500,0)),"")</f>
        <v/>
      </c>
      <c r="O87">
        <f>IFERROR(INDEX('Known Players'!$D$5:$D$500,MATCH(B87&amp;"|"&amp;C87,'Known Players'!$F$5:$F$500,0)),"")</f>
        <v/>
      </c>
      <c r="P87">
        <f>IFERROR(INDEX('Known Players'!$G$5:$G$500,MATCH(B87&amp;"|"&amp;C87,'Known Players'!$F$5:$F$500,0)),"")</f>
        <v/>
      </c>
    </row>
    <row r="88">
      <c r="A88" t="n">
        <v>44</v>
      </c>
      <c r="B88" t="inlineStr">
        <is>
          <t>Player0767</t>
        </is>
      </c>
      <c r="C88" t="inlineStr">
        <is>
          <t>ExampleWorld120</t>
        </is>
      </c>
      <c r="D88" t="inlineStr">
        <is>
          <t>Horde</t>
        </is>
      </c>
      <c r="E88" t="n">
        <v>1</v>
      </c>
      <c r="F88" t="n">
        <v>2</v>
      </c>
      <c r="G88" t="n">
        <v>5</v>
      </c>
      <c r="H88" s="5" t="n">
        <v>68.58882699999999</v>
      </c>
      <c r="I88" s="5" t="n">
        <v>13.243567</v>
      </c>
      <c r="J88" t="inlineStr">
        <is>
          <t>Carts captured: 2</t>
        </is>
      </c>
      <c r="M88">
        <f>COUNTIFS($B$5:$B$2000,B88,$C$5:$C$2000,C88)+COUNTIFS('PG Roster'!$B$5:$B$2000,B88,'PG Roster'!$C$5:$C$2000,C88)</f>
        <v/>
      </c>
      <c r="N88">
        <f>IFERROR(INDEX('Known Players'!$C$5:$C$500,MATCH(B88&amp;"|"&amp;C88,'Known Players'!$F$5:$F$500,0)),"")</f>
        <v/>
      </c>
      <c r="O88">
        <f>IFERROR(INDEX('Known Players'!$D$5:$D$500,MATCH(B88&amp;"|"&amp;C88,'Known Players'!$F$5:$F$500,0)),"")</f>
        <v/>
      </c>
      <c r="P88">
        <f>IFERROR(INDEX('Known Players'!$G$5:$G$500,MATCH(B88&amp;"|"&amp;C88,'Known Players'!$F$5:$F$500,0)),"")</f>
        <v/>
      </c>
    </row>
    <row r="89">
      <c r="A89" t="n">
        <v>44</v>
      </c>
      <c r="B89" t="inlineStr">
        <is>
          <t>Emberguard</t>
        </is>
      </c>
      <c r="C89" t="inlineStr">
        <is>
          <t>SandboxRealm</t>
        </is>
      </c>
      <c r="D89" t="inlineStr">
        <is>
          <t>Horde</t>
        </is>
      </c>
      <c r="E89" t="n">
        <v>6</v>
      </c>
      <c r="F89" t="n">
        <v>6</v>
      </c>
      <c r="G89" t="n">
        <v>5</v>
      </c>
      <c r="H89" s="5" t="n">
        <v>90.508827</v>
      </c>
      <c r="I89" s="5" t="n">
        <v>12.147567</v>
      </c>
      <c r="M89">
        <f>COUNTIFS($B$5:$B$2000,B89,$C$5:$C$2000,C89)+COUNTIFS('PG Roster'!$B$5:$B$2000,B89,'PG Roster'!$C$5:$C$2000,C89)</f>
        <v/>
      </c>
      <c r="N89">
        <f>IFERROR(INDEX('Known Players'!$C$5:$C$500,MATCH(B89&amp;"|"&amp;C89,'Known Players'!$F$5:$F$500,0)),"")</f>
        <v/>
      </c>
      <c r="O89">
        <f>IFERROR(INDEX('Known Players'!$D$5:$D$500,MATCH(B89&amp;"|"&amp;C89,'Known Players'!$F$5:$F$500,0)),"")</f>
        <v/>
      </c>
      <c r="P89">
        <f>IFERROR(INDEX('Known Players'!$G$5:$G$500,MATCH(B89&amp;"|"&amp;C89,'Known Players'!$F$5:$F$500,0)),"")</f>
        <v/>
      </c>
    </row>
    <row r="90">
      <c r="A90" t="n">
        <v>44</v>
      </c>
      <c r="B90" t="inlineStr">
        <is>
          <t>Player0507</t>
        </is>
      </c>
      <c r="C90" t="inlineStr">
        <is>
          <t>ExampleWorld146</t>
        </is>
      </c>
      <c r="D90" t="inlineStr">
        <is>
          <t>Horde</t>
        </is>
      </c>
      <c r="E90" t="n">
        <v>7</v>
      </c>
      <c r="F90" t="n">
        <v>2</v>
      </c>
      <c r="G90" t="n">
        <v>0</v>
      </c>
      <c r="H90" s="5" t="n">
        <v>26.118827</v>
      </c>
      <c r="I90" s="5" t="n">
        <v>11.051567</v>
      </c>
      <c r="J90" t="inlineStr">
        <is>
          <t>Carts captured: 1</t>
        </is>
      </c>
      <c r="M90">
        <f>COUNTIFS($B$5:$B$2000,B90,$C$5:$C$2000,C90)+COUNTIFS('PG Roster'!$B$5:$B$2000,B90,'PG Roster'!$C$5:$C$2000,C90)</f>
        <v/>
      </c>
      <c r="N90">
        <f>IFERROR(INDEX('Known Players'!$C$5:$C$500,MATCH(B90&amp;"|"&amp;C90,'Known Players'!$F$5:$F$500,0)),"")</f>
        <v/>
      </c>
      <c r="O90">
        <f>IFERROR(INDEX('Known Players'!$D$5:$D$500,MATCH(B90&amp;"|"&amp;C90,'Known Players'!$F$5:$F$500,0)),"")</f>
        <v/>
      </c>
      <c r="P90">
        <f>IFERROR(INDEX('Known Players'!$G$5:$G$500,MATCH(B90&amp;"|"&amp;C90,'Known Players'!$F$5:$F$500,0)),"")</f>
        <v/>
      </c>
    </row>
    <row r="91">
      <c r="A91" t="n">
        <v>44</v>
      </c>
      <c r="B91" t="inlineStr">
        <is>
          <t>Player0156</t>
        </is>
      </c>
      <c r="C91" t="inlineStr">
        <is>
          <t>ExampleWorld196</t>
        </is>
      </c>
      <c r="D91" t="inlineStr">
        <is>
          <t>Horde</t>
        </is>
      </c>
      <c r="E91" t="n">
        <v>5</v>
      </c>
      <c r="F91" t="n">
        <v>4</v>
      </c>
      <c r="G91" t="n">
        <v>2</v>
      </c>
      <c r="H91" s="5" t="n">
        <v>54.888827</v>
      </c>
      <c r="I91" s="5" t="n">
        <v>7.489567</v>
      </c>
      <c r="M91">
        <f>COUNTIFS($B$5:$B$2000,B91,$C$5:$C$2000,C91)+COUNTIFS('PG Roster'!$B$5:$B$2000,B91,'PG Roster'!$C$5:$C$2000,C91)</f>
        <v/>
      </c>
      <c r="N91">
        <f>IFERROR(INDEX('Known Players'!$C$5:$C$500,MATCH(B91&amp;"|"&amp;C91,'Known Players'!$F$5:$F$500,0)),"")</f>
        <v/>
      </c>
      <c r="O91">
        <f>IFERROR(INDEX('Known Players'!$D$5:$D$500,MATCH(B91&amp;"|"&amp;C91,'Known Players'!$F$5:$F$500,0)),"")</f>
        <v/>
      </c>
      <c r="P91">
        <f>IFERROR(INDEX('Known Players'!$G$5:$G$500,MATCH(B91&amp;"|"&amp;C91,'Known Players'!$F$5:$F$500,0)),"")</f>
        <v/>
      </c>
    </row>
    <row r="92">
      <c r="A92" t="n">
        <v>44</v>
      </c>
      <c r="B92" t="inlineStr">
        <is>
          <t>Player0702</t>
        </is>
      </c>
      <c r="C92" t="inlineStr">
        <is>
          <t>ExampleWorld174</t>
        </is>
      </c>
      <c r="D92" t="inlineStr">
        <is>
          <t>Horde</t>
        </is>
      </c>
      <c r="E92" t="n">
        <v>2</v>
      </c>
      <c r="F92" t="n">
        <v>5</v>
      </c>
      <c r="G92" t="n">
        <v>2</v>
      </c>
      <c r="H92" s="5" t="n">
        <v>49.408827</v>
      </c>
      <c r="I92" s="5" t="n">
        <v>1.513627</v>
      </c>
      <c r="M92">
        <f>COUNTIFS($B$5:$B$2000,B92,$C$5:$C$2000,C92)+COUNTIFS('PG Roster'!$B$5:$B$2000,B92,'PG Roster'!$C$5:$C$2000,C92)</f>
        <v/>
      </c>
      <c r="N92">
        <f>IFERROR(INDEX('Known Players'!$C$5:$C$500,MATCH(B92&amp;"|"&amp;C92,'Known Players'!$F$5:$F$500,0)),"")</f>
        <v/>
      </c>
      <c r="O92">
        <f>IFERROR(INDEX('Known Players'!$D$5:$D$500,MATCH(B92&amp;"|"&amp;C92,'Known Players'!$F$5:$F$500,0)),"")</f>
        <v/>
      </c>
      <c r="P92">
        <f>IFERROR(INDEX('Known Players'!$G$5:$G$500,MATCH(B92&amp;"|"&amp;C92,'Known Players'!$F$5:$F$500,0)),"")</f>
        <v/>
      </c>
    </row>
    <row r="93">
      <c r="A93" t="n">
        <v>44</v>
      </c>
      <c r="B93" t="inlineStr">
        <is>
          <t>Player0444</t>
        </is>
      </c>
      <c r="C93" t="inlineStr">
        <is>
          <t>ExampleWorld196</t>
        </is>
      </c>
      <c r="D93" t="inlineStr">
        <is>
          <t>Alliance</t>
        </is>
      </c>
      <c r="E93" t="n">
        <v>4</v>
      </c>
      <c r="F93" t="n">
        <v>2</v>
      </c>
      <c r="G93" t="n">
        <v>7</v>
      </c>
      <c r="H93" s="5" t="n">
        <v>10.500827</v>
      </c>
      <c r="I93" s="5" t="n">
        <v>123.391567</v>
      </c>
      <c r="M93">
        <f>COUNTIFS($B$5:$B$2000,B93,$C$5:$C$2000,C93)+COUNTIFS('PG Roster'!$B$5:$B$2000,B93,'PG Roster'!$C$5:$C$2000,C93)</f>
        <v/>
      </c>
      <c r="N93">
        <f>IFERROR(INDEX('Known Players'!$C$5:$C$500,MATCH(B93&amp;"|"&amp;C93,'Known Players'!$F$5:$F$500,0)),"")</f>
        <v/>
      </c>
      <c r="O93">
        <f>IFERROR(INDEX('Known Players'!$D$5:$D$500,MATCH(B93&amp;"|"&amp;C93,'Known Players'!$F$5:$F$500,0)),"")</f>
        <v/>
      </c>
      <c r="P93">
        <f>IFERROR(INDEX('Known Players'!$G$5:$G$500,MATCH(B93&amp;"|"&amp;C93,'Known Players'!$F$5:$F$500,0)),"")</f>
        <v/>
      </c>
    </row>
    <row r="94">
      <c r="A94" t="n">
        <v>44</v>
      </c>
      <c r="B94" t="inlineStr">
        <is>
          <t>Player0174</t>
        </is>
      </c>
      <c r="C94" t="inlineStr">
        <is>
          <t>ExampleWorld052</t>
        </is>
      </c>
      <c r="D94" t="inlineStr">
        <is>
          <t>Alliance</t>
        </is>
      </c>
      <c r="E94" t="n">
        <v>7</v>
      </c>
      <c r="F94" t="n">
        <v>10</v>
      </c>
      <c r="G94" t="n">
        <v>5</v>
      </c>
      <c r="H94" s="5" t="n">
        <v>10.500827</v>
      </c>
      <c r="I94" s="5" t="n">
        <v>123.391567</v>
      </c>
      <c r="J94" t="inlineStr">
        <is>
          <t>Carts captured: 1</t>
        </is>
      </c>
      <c r="M94">
        <f>COUNTIFS($B$5:$B$2000,B94,$C$5:$C$2000,C94)+COUNTIFS('PG Roster'!$B$5:$B$2000,B94,'PG Roster'!$C$5:$C$2000,C94)</f>
        <v/>
      </c>
      <c r="N94">
        <f>IFERROR(INDEX('Known Players'!$C$5:$C$500,MATCH(B94&amp;"|"&amp;C94,'Known Players'!$F$5:$F$500,0)),"")</f>
        <v/>
      </c>
      <c r="O94">
        <f>IFERROR(INDEX('Known Players'!$D$5:$D$500,MATCH(B94&amp;"|"&amp;C94,'Known Players'!$F$5:$F$500,0)),"")</f>
        <v/>
      </c>
      <c r="P94">
        <f>IFERROR(INDEX('Known Players'!$G$5:$G$500,MATCH(B94&amp;"|"&amp;C94,'Known Players'!$F$5:$F$500,0)),"")</f>
        <v/>
      </c>
    </row>
    <row r="95">
      <c r="A95" t="n">
        <v>44</v>
      </c>
      <c r="B95" t="inlineStr">
        <is>
          <t>Player0043</t>
        </is>
      </c>
      <c r="C95" t="inlineStr">
        <is>
          <t>ExampleWorld107</t>
        </is>
      </c>
      <c r="D95" t="inlineStr">
        <is>
          <t>Alliance</t>
        </is>
      </c>
      <c r="E95" t="n">
        <v>0</v>
      </c>
      <c r="F95" t="n">
        <v>6</v>
      </c>
      <c r="G95" t="n">
        <v>5</v>
      </c>
      <c r="H95" s="5" t="n">
        <v>15.432827</v>
      </c>
      <c r="I95" s="5" t="n">
        <v>85.031567</v>
      </c>
      <c r="M95">
        <f>COUNTIFS($B$5:$B$2000,B95,$C$5:$C$2000,C95)+COUNTIFS('PG Roster'!$B$5:$B$2000,B95,'PG Roster'!$C$5:$C$2000,C95)</f>
        <v/>
      </c>
      <c r="N95">
        <f>IFERROR(INDEX('Known Players'!$C$5:$C$500,MATCH(B95&amp;"|"&amp;C95,'Known Players'!$F$5:$F$500,0)),"")</f>
        <v/>
      </c>
      <c r="O95">
        <f>IFERROR(INDEX('Known Players'!$D$5:$D$500,MATCH(B95&amp;"|"&amp;C95,'Known Players'!$F$5:$F$500,0)),"")</f>
        <v/>
      </c>
      <c r="P95">
        <f>IFERROR(INDEX('Known Players'!$G$5:$G$500,MATCH(B95&amp;"|"&amp;C95,'Known Players'!$F$5:$F$500,0)),"")</f>
        <v/>
      </c>
    </row>
    <row r="96">
      <c r="A96" t="n">
        <v>44</v>
      </c>
      <c r="B96" t="inlineStr">
        <is>
          <t>Player0618</t>
        </is>
      </c>
      <c r="C96" t="inlineStr">
        <is>
          <t>ExampleWorld164</t>
        </is>
      </c>
      <c r="D96" t="inlineStr">
        <is>
          <t>Alliance</t>
        </is>
      </c>
      <c r="E96" t="n">
        <v>7</v>
      </c>
      <c r="F96" t="n">
        <v>6</v>
      </c>
      <c r="G96" t="n">
        <v>5</v>
      </c>
      <c r="H96" s="5" t="n">
        <v>82.288827</v>
      </c>
      <c r="I96" s="5" t="n">
        <v>32.971567</v>
      </c>
      <c r="M96">
        <f>COUNTIFS($B$5:$B$2000,B96,$C$5:$C$2000,C96)+COUNTIFS('PG Roster'!$B$5:$B$2000,B96,'PG Roster'!$C$5:$C$2000,C96)</f>
        <v/>
      </c>
      <c r="N96">
        <f>IFERROR(INDEX('Known Players'!$C$5:$C$500,MATCH(B96&amp;"|"&amp;C96,'Known Players'!$F$5:$F$500,0)),"")</f>
        <v/>
      </c>
      <c r="O96">
        <f>IFERROR(INDEX('Known Players'!$D$5:$D$500,MATCH(B96&amp;"|"&amp;C96,'Known Players'!$F$5:$F$500,0)),"")</f>
        <v/>
      </c>
      <c r="P96">
        <f>IFERROR(INDEX('Known Players'!$G$5:$G$500,MATCH(B96&amp;"|"&amp;C96,'Known Players'!$F$5:$F$500,0)),"")</f>
        <v/>
      </c>
    </row>
    <row r="97">
      <c r="A97" t="n">
        <v>44</v>
      </c>
      <c r="B97" t="inlineStr">
        <is>
          <t>Player0440</t>
        </is>
      </c>
      <c r="C97" t="inlineStr">
        <is>
          <t>ExampleWorld027</t>
        </is>
      </c>
      <c r="D97" t="inlineStr">
        <is>
          <t>Alliance</t>
        </is>
      </c>
      <c r="E97" t="n">
        <v>2</v>
      </c>
      <c r="F97" t="n">
        <v>10</v>
      </c>
      <c r="G97" t="n">
        <v>0</v>
      </c>
      <c r="H97" s="5" t="n">
        <v>60.368827</v>
      </c>
      <c r="I97" s="5" t="n">
        <v>32.971567</v>
      </c>
      <c r="M97">
        <f>COUNTIFS($B$5:$B$2000,B97,$C$5:$C$2000,C97)+COUNTIFS('PG Roster'!$B$5:$B$2000,B97,'PG Roster'!$C$5:$C$2000,C97)</f>
        <v/>
      </c>
      <c r="N97">
        <f>IFERROR(INDEX('Known Players'!$C$5:$C$500,MATCH(B97&amp;"|"&amp;C97,'Known Players'!$F$5:$F$500,0)),"")</f>
        <v/>
      </c>
      <c r="O97">
        <f>IFERROR(INDEX('Known Players'!$D$5:$D$500,MATCH(B97&amp;"|"&amp;C97,'Known Players'!$F$5:$F$500,0)),"")</f>
        <v/>
      </c>
      <c r="P97">
        <f>IFERROR(INDEX('Known Players'!$G$5:$G$500,MATCH(B97&amp;"|"&amp;C97,'Known Players'!$F$5:$F$500,0)),"")</f>
        <v/>
      </c>
    </row>
    <row r="98">
      <c r="A98" t="n">
        <v>44</v>
      </c>
      <c r="B98" t="inlineStr">
        <is>
          <t>Player0235</t>
        </is>
      </c>
      <c r="C98" t="inlineStr">
        <is>
          <t>ExampleWorld144</t>
        </is>
      </c>
      <c r="D98" t="inlineStr">
        <is>
          <t>Alliance</t>
        </is>
      </c>
      <c r="E98" t="n">
        <v>0</v>
      </c>
      <c r="F98" t="n">
        <v>6</v>
      </c>
      <c r="G98" t="n">
        <v>8</v>
      </c>
      <c r="H98" s="5" t="n">
        <v>101.468827</v>
      </c>
      <c r="I98" s="5" t="n">
        <v>30.231567</v>
      </c>
      <c r="M98">
        <f>COUNTIFS($B$5:$B$2000,B98,$C$5:$C$2000,C98)+COUNTIFS('PG Roster'!$B$5:$B$2000,B98,'PG Roster'!$C$5:$C$2000,C98)</f>
        <v/>
      </c>
      <c r="N98">
        <f>IFERROR(INDEX('Known Players'!$C$5:$C$500,MATCH(B98&amp;"|"&amp;C98,'Known Players'!$F$5:$F$500,0)),"")</f>
        <v/>
      </c>
      <c r="O98">
        <f>IFERROR(INDEX('Known Players'!$D$5:$D$500,MATCH(B98&amp;"|"&amp;C98,'Known Players'!$F$5:$F$500,0)),"")</f>
        <v/>
      </c>
      <c r="P98">
        <f>IFERROR(INDEX('Known Players'!$G$5:$G$500,MATCH(B98&amp;"|"&amp;C98,'Known Players'!$F$5:$F$500,0)),"")</f>
        <v/>
      </c>
    </row>
    <row r="99">
      <c r="A99" t="n">
        <v>44</v>
      </c>
      <c r="B99" t="inlineStr">
        <is>
          <t>Player0809</t>
        </is>
      </c>
      <c r="C99" t="inlineStr">
        <is>
          <t>ExampleWorld192</t>
        </is>
      </c>
      <c r="D99" t="inlineStr">
        <is>
          <t>Alliance</t>
        </is>
      </c>
      <c r="E99" t="n">
        <v>0</v>
      </c>
      <c r="F99" t="n">
        <v>4</v>
      </c>
      <c r="G99" t="n">
        <v>2</v>
      </c>
      <c r="H99" s="5" t="n">
        <v>63.108827</v>
      </c>
      <c r="I99" s="5" t="n">
        <v>27.217567</v>
      </c>
      <c r="M99">
        <f>COUNTIFS($B$5:$B$2000,B99,$C$5:$C$2000,C99)+COUNTIFS('PG Roster'!$B$5:$B$2000,B99,'PG Roster'!$C$5:$C$2000,C99)</f>
        <v/>
      </c>
      <c r="N99">
        <f>IFERROR(INDEX('Known Players'!$C$5:$C$500,MATCH(B99&amp;"|"&amp;C99,'Known Players'!$F$5:$F$500,0)),"")</f>
        <v/>
      </c>
      <c r="O99">
        <f>IFERROR(INDEX('Known Players'!$D$5:$D$500,MATCH(B99&amp;"|"&amp;C99,'Known Players'!$F$5:$F$500,0)),"")</f>
        <v/>
      </c>
      <c r="P99">
        <f>IFERROR(INDEX('Known Players'!$G$5:$G$500,MATCH(B99&amp;"|"&amp;C99,'Known Players'!$F$5:$F$500,0)),"")</f>
        <v/>
      </c>
    </row>
    <row r="100">
      <c r="A100" t="n">
        <v>44</v>
      </c>
      <c r="B100" t="inlineStr">
        <is>
          <t>Player0516</t>
        </is>
      </c>
      <c r="C100" t="inlineStr">
        <is>
          <t>ExampleWorld164</t>
        </is>
      </c>
      <c r="D100" t="inlineStr">
        <is>
          <t>Alliance</t>
        </is>
      </c>
      <c r="E100" t="n">
        <v>2</v>
      </c>
      <c r="F100" t="n">
        <v>1</v>
      </c>
      <c r="G100" t="n">
        <v>5</v>
      </c>
      <c r="H100" s="5" t="n">
        <v>46.668827</v>
      </c>
      <c r="I100" s="5" t="n">
        <v>23.655567</v>
      </c>
      <c r="M100">
        <f>COUNTIFS($B$5:$B$2000,B100,$C$5:$C$2000,C100)+COUNTIFS('PG Roster'!$B$5:$B$2000,B100,'PG Roster'!$C$5:$C$2000,C100)</f>
        <v/>
      </c>
      <c r="N100">
        <f>IFERROR(INDEX('Known Players'!$C$5:$C$500,MATCH(B100&amp;"|"&amp;C100,'Known Players'!$F$5:$F$500,0)),"")</f>
        <v/>
      </c>
      <c r="O100">
        <f>IFERROR(INDEX('Known Players'!$D$5:$D$500,MATCH(B100&amp;"|"&amp;C100,'Known Players'!$F$5:$F$500,0)),"")</f>
        <v/>
      </c>
      <c r="P100">
        <f>IFERROR(INDEX('Known Players'!$G$5:$G$500,MATCH(B100&amp;"|"&amp;C100,'Known Players'!$F$5:$F$500,0)),"")</f>
        <v/>
      </c>
    </row>
    <row r="101">
      <c r="A101" t="n">
        <v>44</v>
      </c>
      <c r="B101" t="inlineStr">
        <is>
          <t>Player0016</t>
        </is>
      </c>
      <c r="C101" t="inlineStr">
        <is>
          <t>ExampleWorld020</t>
        </is>
      </c>
      <c r="D101" t="inlineStr">
        <is>
          <t>Alliance</t>
        </is>
      </c>
      <c r="E101" t="n">
        <v>4</v>
      </c>
      <c r="F101" t="n">
        <v>1</v>
      </c>
      <c r="G101" t="n">
        <v>8</v>
      </c>
      <c r="H101" s="5" t="n">
        <v>5.294827</v>
      </c>
      <c r="I101" s="5" t="n">
        <v>22.011567</v>
      </c>
      <c r="M101">
        <f>COUNTIFS($B$5:$B$2000,B101,$C$5:$C$2000,C101)+COUNTIFS('PG Roster'!$B$5:$B$2000,B101,'PG Roster'!$C$5:$C$2000,C101)</f>
        <v/>
      </c>
      <c r="N101">
        <f>IFERROR(INDEX('Known Players'!$C$5:$C$500,MATCH(B101&amp;"|"&amp;C101,'Known Players'!$F$5:$F$500,0)),"")</f>
        <v/>
      </c>
      <c r="O101">
        <f>IFERROR(INDEX('Known Players'!$D$5:$D$500,MATCH(B101&amp;"|"&amp;C101,'Known Players'!$F$5:$F$500,0)),"")</f>
        <v/>
      </c>
      <c r="P101">
        <f>IFERROR(INDEX('Known Players'!$G$5:$G$500,MATCH(B101&amp;"|"&amp;C101,'Known Players'!$F$5:$F$500,0)),"")</f>
        <v/>
      </c>
    </row>
    <row r="102">
      <c r="A102" t="n">
        <v>44</v>
      </c>
      <c r="B102" t="inlineStr">
        <is>
          <t>Player0550</t>
        </is>
      </c>
      <c r="C102" t="inlineStr">
        <is>
          <t>ExampleWorld150</t>
        </is>
      </c>
      <c r="D102" t="inlineStr">
        <is>
          <t>Alliance</t>
        </is>
      </c>
      <c r="E102" t="n">
        <v>3</v>
      </c>
      <c r="F102" t="n">
        <v>2</v>
      </c>
      <c r="G102" t="n">
        <v>8</v>
      </c>
      <c r="H102" s="5" t="n">
        <v>74.068827</v>
      </c>
      <c r="I102" s="5" t="n">
        <v>18.449567</v>
      </c>
      <c r="M102">
        <f>COUNTIFS($B$5:$B$2000,B102,$C$5:$C$2000,C102)+COUNTIFS('PG Roster'!$B$5:$B$2000,B102,'PG Roster'!$C$5:$C$2000,C102)</f>
        <v/>
      </c>
      <c r="N102">
        <f>IFERROR(INDEX('Known Players'!$C$5:$C$500,MATCH(B102&amp;"|"&amp;C102,'Known Players'!$F$5:$F$500,0)),"")</f>
        <v/>
      </c>
      <c r="O102">
        <f>IFERROR(INDEX('Known Players'!$D$5:$D$500,MATCH(B102&amp;"|"&amp;C102,'Known Players'!$F$5:$F$500,0)),"")</f>
        <v/>
      </c>
      <c r="P102">
        <f>IFERROR(INDEX('Known Players'!$G$5:$G$500,MATCH(B102&amp;"|"&amp;C102,'Known Players'!$F$5:$F$500,0)),"")</f>
        <v/>
      </c>
    </row>
    <row r="103">
      <c r="A103" t="n">
        <v>44</v>
      </c>
      <c r="B103" t="inlineStr">
        <is>
          <t>Player0690</t>
        </is>
      </c>
      <c r="C103" t="inlineStr">
        <is>
          <t>ExampleWorld021</t>
        </is>
      </c>
      <c r="D103" t="inlineStr">
        <is>
          <t>Alliance</t>
        </is>
      </c>
      <c r="E103" t="n">
        <v>8</v>
      </c>
      <c r="F103" t="n">
        <v>5</v>
      </c>
      <c r="G103" t="n">
        <v>2</v>
      </c>
      <c r="H103" s="5" t="n">
        <v>52.148827</v>
      </c>
      <c r="I103" s="5" t="n">
        <v>11.051567</v>
      </c>
      <c r="M103">
        <f>COUNTIFS($B$5:$B$2000,B103,$C$5:$C$2000,C103)+COUNTIFS('PG Roster'!$B$5:$B$2000,B103,'PG Roster'!$C$5:$C$2000,C103)</f>
        <v/>
      </c>
      <c r="N103">
        <f>IFERROR(INDEX('Known Players'!$C$5:$C$500,MATCH(B103&amp;"|"&amp;C103,'Known Players'!$F$5:$F$500,0)),"")</f>
        <v/>
      </c>
      <c r="O103">
        <f>IFERROR(INDEX('Known Players'!$D$5:$D$500,MATCH(B103&amp;"|"&amp;C103,'Known Players'!$F$5:$F$500,0)),"")</f>
        <v/>
      </c>
      <c r="P103">
        <f>IFERROR(INDEX('Known Players'!$G$5:$G$500,MATCH(B103&amp;"|"&amp;C103,'Known Players'!$F$5:$F$500,0)),"")</f>
        <v/>
      </c>
    </row>
    <row r="104">
      <c r="A104" t="n">
        <v>44</v>
      </c>
      <c r="B104" t="inlineStr">
        <is>
          <t>Player0396</t>
        </is>
      </c>
      <c r="C104" t="inlineStr">
        <is>
          <t>ExampleWorld164</t>
        </is>
      </c>
      <c r="D104" t="inlineStr">
        <is>
          <t>Alliance</t>
        </is>
      </c>
      <c r="E104" t="n">
        <v>0</v>
      </c>
      <c r="F104" t="n">
        <v>2</v>
      </c>
      <c r="G104" t="n">
        <v>8</v>
      </c>
      <c r="H104" s="5" t="n">
        <v>76.80882699999999</v>
      </c>
      <c r="I104" s="5" t="n">
        <v>10.503567</v>
      </c>
      <c r="M104">
        <f>COUNTIFS($B$5:$B$2000,B104,$C$5:$C$2000,C104)+COUNTIFS('PG Roster'!$B$5:$B$2000,B104,'PG Roster'!$C$5:$C$2000,C104)</f>
        <v/>
      </c>
      <c r="N104">
        <f>IFERROR(INDEX('Known Players'!$C$5:$C$500,MATCH(B104&amp;"|"&amp;C104,'Known Players'!$F$5:$F$500,0)),"")</f>
        <v/>
      </c>
      <c r="O104">
        <f>IFERROR(INDEX('Known Players'!$D$5:$D$500,MATCH(B104&amp;"|"&amp;C104,'Known Players'!$F$5:$F$500,0)),"")</f>
        <v/>
      </c>
      <c r="P104">
        <f>IFERROR(INDEX('Known Players'!$G$5:$G$500,MATCH(B104&amp;"|"&amp;C104,'Known Players'!$F$5:$F$500,0)),"")</f>
        <v/>
      </c>
    </row>
    <row r="105">
      <c r="A105" t="n">
        <v>44</v>
      </c>
      <c r="B105" t="inlineStr">
        <is>
          <t>Player0578</t>
        </is>
      </c>
      <c r="C105" t="inlineStr">
        <is>
          <t>ExampleWorld164</t>
        </is>
      </c>
      <c r="D105" t="inlineStr">
        <is>
          <t>Alliance</t>
        </is>
      </c>
      <c r="E105" t="n">
        <v>0</v>
      </c>
      <c r="F105" t="n">
        <v>2</v>
      </c>
      <c r="G105" t="n">
        <v>10</v>
      </c>
      <c r="H105" s="5" t="n">
        <v>60.368827</v>
      </c>
      <c r="I105" s="5" t="n">
        <v>8.585566999999999</v>
      </c>
      <c r="M105">
        <f>COUNTIFS($B$5:$B$2000,B105,$C$5:$C$2000,C105)+COUNTIFS('PG Roster'!$B$5:$B$2000,B105,'PG Roster'!$C$5:$C$2000,C105)</f>
        <v/>
      </c>
      <c r="N105">
        <f>IFERROR(INDEX('Known Players'!$C$5:$C$500,MATCH(B105&amp;"|"&amp;C105,'Known Players'!$F$5:$F$500,0)),"")</f>
        <v/>
      </c>
      <c r="O105">
        <f>IFERROR(INDEX('Known Players'!$D$5:$D$500,MATCH(B105&amp;"|"&amp;C105,'Known Players'!$F$5:$F$500,0)),"")</f>
        <v/>
      </c>
      <c r="P105">
        <f>IFERROR(INDEX('Known Players'!$G$5:$G$500,MATCH(B105&amp;"|"&amp;C105,'Known Players'!$F$5:$F$500,0)),"")</f>
        <v/>
      </c>
    </row>
    <row r="106">
      <c r="A106" t="n">
        <v>44</v>
      </c>
      <c r="B106" t="inlineStr">
        <is>
          <t>Player0231</t>
        </is>
      </c>
      <c r="C106" t="inlineStr">
        <is>
          <t>ExampleWorld110</t>
        </is>
      </c>
      <c r="D106" t="inlineStr">
        <is>
          <t>Alliance</t>
        </is>
      </c>
      <c r="E106" t="n">
        <v>6</v>
      </c>
      <c r="F106" t="n">
        <v>5</v>
      </c>
      <c r="G106" t="n">
        <v>0</v>
      </c>
      <c r="H106" s="5" t="n">
        <v>46.668827</v>
      </c>
      <c r="I106" s="5" t="n">
        <v>8.037566999999999</v>
      </c>
      <c r="M106">
        <f>COUNTIFS($B$5:$B$2000,B106,$C$5:$C$2000,C106)+COUNTIFS('PG Roster'!$B$5:$B$2000,B106,'PG Roster'!$C$5:$C$2000,C106)</f>
        <v/>
      </c>
      <c r="N106">
        <f>IFERROR(INDEX('Known Players'!$C$5:$C$500,MATCH(B106&amp;"|"&amp;C106,'Known Players'!$F$5:$F$500,0)),"")</f>
        <v/>
      </c>
      <c r="O106">
        <f>IFERROR(INDEX('Known Players'!$D$5:$D$500,MATCH(B106&amp;"|"&amp;C106,'Known Players'!$F$5:$F$500,0)),"")</f>
        <v/>
      </c>
      <c r="P106">
        <f>IFERROR(INDEX('Known Players'!$G$5:$G$500,MATCH(B106&amp;"|"&amp;C106,'Known Players'!$F$5:$F$500,0)),"")</f>
        <v/>
      </c>
    </row>
    <row r="107">
      <c r="A107" t="n">
        <v>44</v>
      </c>
      <c r="B107" t="inlineStr">
        <is>
          <t>Player0911</t>
        </is>
      </c>
      <c r="C107" t="inlineStr">
        <is>
          <t>SandboxRealm</t>
        </is>
      </c>
      <c r="D107" t="inlineStr">
        <is>
          <t>Alliance</t>
        </is>
      </c>
      <c r="E107" t="n">
        <v>2</v>
      </c>
      <c r="F107" t="n">
        <v>3</v>
      </c>
      <c r="G107" t="n">
        <v>5</v>
      </c>
      <c r="H107" s="5" t="n">
        <v>32.968827</v>
      </c>
      <c r="I107" s="5" t="n">
        <v>6.667567</v>
      </c>
      <c r="M107">
        <f>COUNTIFS($B$5:$B$2000,B107,$C$5:$C$2000,C107)+COUNTIFS('PG Roster'!$B$5:$B$2000,B107,'PG Roster'!$C$5:$C$2000,C107)</f>
        <v/>
      </c>
      <c r="N107">
        <f>IFERROR(INDEX('Known Players'!$C$5:$C$500,MATCH(B107&amp;"|"&amp;C107,'Known Players'!$F$5:$F$500,0)),"")</f>
        <v/>
      </c>
      <c r="O107">
        <f>IFERROR(INDEX('Known Players'!$D$5:$D$500,MATCH(B107&amp;"|"&amp;C107,'Known Players'!$F$5:$F$500,0)),"")</f>
        <v/>
      </c>
      <c r="P107">
        <f>IFERROR(INDEX('Known Players'!$G$5:$G$500,MATCH(B107&amp;"|"&amp;C107,'Known Players'!$F$5:$F$500,0)),"")</f>
        <v/>
      </c>
    </row>
    <row r="108">
      <c r="A108" t="n">
        <v>45</v>
      </c>
      <c r="B108" t="inlineStr">
        <is>
          <t>Mossweaver</t>
        </is>
      </c>
      <c r="C108" t="inlineStr">
        <is>
          <t>exampleworld001</t>
        </is>
      </c>
      <c r="D108" t="inlineStr">
        <is>
          <t>Horde</t>
        </is>
      </c>
      <c r="E108" t="n">
        <v>7</v>
      </c>
      <c r="F108" t="n">
        <v>2</v>
      </c>
      <c r="G108" t="n">
        <v>0</v>
      </c>
      <c r="H108" s="5" t="n">
        <v>3.185027</v>
      </c>
      <c r="I108" s="5" t="n">
        <v>99.608367</v>
      </c>
      <c r="M108">
        <f>COUNTIFS($B$5:$B$2000,B108,$C$5:$C$2000,C108)+COUNTIFS('PG Roster'!$B$5:$B$2000,B108,'PG Roster'!$C$5:$C$2000,C108)</f>
        <v/>
      </c>
      <c r="N108">
        <f>IFERROR(INDEX('Known Players'!$C$5:$C$500,MATCH(B108&amp;"|"&amp;C108,'Known Players'!$F$5:$F$500,0)),"")</f>
        <v/>
      </c>
      <c r="O108">
        <f>IFERROR(INDEX('Known Players'!$D$5:$D$500,MATCH(B108&amp;"|"&amp;C108,'Known Players'!$F$5:$F$500,0)),"")</f>
        <v/>
      </c>
      <c r="P108">
        <f>IFERROR(INDEX('Known Players'!$G$5:$G$500,MATCH(B108&amp;"|"&amp;C108,'Known Players'!$F$5:$F$500,0)),"")</f>
        <v/>
      </c>
    </row>
    <row r="109">
      <c r="A109" t="n">
        <v>45</v>
      </c>
      <c r="B109" t="inlineStr">
        <is>
          <t>Player0027</t>
        </is>
      </c>
      <c r="C109" t="inlineStr">
        <is>
          <t>ExampleWorld115</t>
        </is>
      </c>
      <c r="D109" t="inlineStr">
        <is>
          <t>Horde</t>
        </is>
      </c>
      <c r="E109" t="n">
        <v>4</v>
      </c>
      <c r="F109" t="n">
        <v>10</v>
      </c>
      <c r="G109" t="n">
        <v>4</v>
      </c>
      <c r="H109" s="5" t="n">
        <v>12.144827</v>
      </c>
      <c r="I109" s="5" t="n">
        <v>82.291567</v>
      </c>
      <c r="J109" t="inlineStr">
        <is>
          <t>Crystal captures: 2</t>
        </is>
      </c>
      <c r="M109">
        <f>COUNTIFS($B$5:$B$2000,B109,$C$5:$C$2000,C109)+COUNTIFS('PG Roster'!$B$5:$B$2000,B109,'PG Roster'!$C$5:$C$2000,C109)</f>
        <v/>
      </c>
      <c r="N109">
        <f>IFERROR(INDEX('Known Players'!$C$5:$C$500,MATCH(B109&amp;"|"&amp;C109,'Known Players'!$F$5:$F$500,0)),"")</f>
        <v/>
      </c>
      <c r="O109">
        <f>IFERROR(INDEX('Known Players'!$D$5:$D$500,MATCH(B109&amp;"|"&amp;C109,'Known Players'!$F$5:$F$500,0)),"")</f>
        <v/>
      </c>
      <c r="P109">
        <f>IFERROR(INDEX('Known Players'!$G$5:$G$500,MATCH(B109&amp;"|"&amp;C109,'Known Players'!$F$5:$F$500,0)),"")</f>
        <v/>
      </c>
    </row>
    <row r="110">
      <c r="A110" t="n">
        <v>45</v>
      </c>
      <c r="B110" t="inlineStr">
        <is>
          <t>Player0567</t>
        </is>
      </c>
      <c r="C110" t="inlineStr">
        <is>
          <t>ExampleWorld002</t>
        </is>
      </c>
      <c r="D110" t="inlineStr">
        <is>
          <t>Horde</t>
        </is>
      </c>
      <c r="E110" t="n">
        <v>2</v>
      </c>
      <c r="F110" t="n">
        <v>4</v>
      </c>
      <c r="G110" t="n">
        <v>7</v>
      </c>
      <c r="H110" s="5" t="n">
        <v>90.508827</v>
      </c>
      <c r="I110" s="5" t="n">
        <v>18.175567</v>
      </c>
      <c r="J110" t="inlineStr">
        <is>
          <t>Carts controlled: 1</t>
        </is>
      </c>
      <c r="M110">
        <f>COUNTIFS($B$5:$B$2000,B110,$C$5:$C$2000,C110)+COUNTIFS('PG Roster'!$B$5:$B$2000,B110,'PG Roster'!$C$5:$C$2000,C110)</f>
        <v/>
      </c>
      <c r="N110">
        <f>IFERROR(INDEX('Known Players'!$C$5:$C$500,MATCH(B110&amp;"|"&amp;C110,'Known Players'!$F$5:$F$500,0)),"")</f>
        <v/>
      </c>
      <c r="O110">
        <f>IFERROR(INDEX('Known Players'!$D$5:$D$500,MATCH(B110&amp;"|"&amp;C110,'Known Players'!$F$5:$F$500,0)),"")</f>
        <v/>
      </c>
      <c r="P110">
        <f>IFERROR(INDEX('Known Players'!$G$5:$G$500,MATCH(B110&amp;"|"&amp;C110,'Known Players'!$F$5:$F$500,0)),"")</f>
        <v/>
      </c>
    </row>
    <row r="111">
      <c r="A111" t="n">
        <v>45</v>
      </c>
      <c r="B111" t="inlineStr">
        <is>
          <t>Snowflare</t>
        </is>
      </c>
      <c r="C111" t="inlineStr">
        <is>
          <t>SandboxRealm</t>
        </is>
      </c>
      <c r="D111" t="inlineStr">
        <is>
          <t>Horde</t>
        </is>
      </c>
      <c r="E111" t="n">
        <v>8</v>
      </c>
      <c r="F111" t="n">
        <v>8</v>
      </c>
      <c r="G111" t="n">
        <v>4</v>
      </c>
      <c r="H111" s="5" t="n">
        <v>98.728827</v>
      </c>
      <c r="I111" s="5" t="n">
        <v>14.613567</v>
      </c>
      <c r="J111" t="inlineStr">
        <is>
          <t>Carts controlled: 3</t>
        </is>
      </c>
      <c r="M111">
        <f>COUNTIFS($B$5:$B$2000,B111,$C$5:$C$2000,C111)+COUNTIFS('PG Roster'!$B$5:$B$2000,B111,'PG Roster'!$C$5:$C$2000,C111)</f>
        <v/>
      </c>
      <c r="N111">
        <f>IFERROR(INDEX('Known Players'!$C$5:$C$500,MATCH(B111&amp;"|"&amp;C111,'Known Players'!$F$5:$F$500,0)),"")</f>
        <v/>
      </c>
      <c r="O111">
        <f>IFERROR(INDEX('Known Players'!$D$5:$D$500,MATCH(B111&amp;"|"&amp;C111,'Known Players'!$F$5:$F$500,0)),"")</f>
        <v/>
      </c>
      <c r="P111">
        <f>IFERROR(INDEX('Known Players'!$G$5:$G$500,MATCH(B111&amp;"|"&amp;C111,'Known Players'!$F$5:$F$500,0)),"")</f>
        <v/>
      </c>
    </row>
    <row r="112">
      <c r="A112" t="n">
        <v>45</v>
      </c>
      <c r="B112" t="inlineStr">
        <is>
          <t>Player0612</t>
        </is>
      </c>
      <c r="C112" t="inlineStr">
        <is>
          <t>ExampleWorld088</t>
        </is>
      </c>
      <c r="D112" t="inlineStr">
        <is>
          <t>Horde</t>
        </is>
      </c>
      <c r="E112" t="n">
        <v>4</v>
      </c>
      <c r="F112" t="n">
        <v>8</v>
      </c>
      <c r="G112" t="n">
        <v>7</v>
      </c>
      <c r="H112" s="5" t="n">
        <v>38.448827</v>
      </c>
      <c r="I112" s="5" t="n">
        <v>12.695567</v>
      </c>
      <c r="J112" t="inlineStr">
        <is>
          <t>Carts controlled: 2</t>
        </is>
      </c>
      <c r="M112">
        <f>COUNTIFS($B$5:$B$2000,B112,$C$5:$C$2000,C112)+COUNTIFS('PG Roster'!$B$5:$B$2000,B112,'PG Roster'!$C$5:$C$2000,C112)</f>
        <v/>
      </c>
      <c r="N112">
        <f>IFERROR(INDEX('Known Players'!$C$5:$C$500,MATCH(B112&amp;"|"&amp;C112,'Known Players'!$F$5:$F$500,0)),"")</f>
        <v/>
      </c>
      <c r="O112">
        <f>IFERROR(INDEX('Known Players'!$D$5:$D$500,MATCH(B112&amp;"|"&amp;C112,'Known Players'!$F$5:$F$500,0)),"")</f>
        <v/>
      </c>
      <c r="P112">
        <f>IFERROR(INDEX('Known Players'!$G$5:$G$500,MATCH(B112&amp;"|"&amp;C112,'Known Players'!$F$5:$F$500,0)),"")</f>
        <v/>
      </c>
    </row>
    <row r="113">
      <c r="A113" t="n">
        <v>45</v>
      </c>
      <c r="B113" t="inlineStr">
        <is>
          <t>Player0198</t>
        </is>
      </c>
      <c r="C113" t="inlineStr">
        <is>
          <t>ExampleWorld140</t>
        </is>
      </c>
      <c r="D113" t="inlineStr">
        <is>
          <t>Horde</t>
        </is>
      </c>
      <c r="E113" t="n">
        <v>7</v>
      </c>
      <c r="F113" t="n">
        <v>0</v>
      </c>
      <c r="G113" t="n">
        <v>4</v>
      </c>
      <c r="H113" s="5" t="n">
        <v>82.288827</v>
      </c>
      <c r="I113" s="5" t="n">
        <v>8.037566999999999</v>
      </c>
      <c r="J113" t="inlineStr">
        <is>
          <t>Carts controlled: 1</t>
        </is>
      </c>
      <c r="M113">
        <f>COUNTIFS($B$5:$B$2000,B113,$C$5:$C$2000,C113)+COUNTIFS('PG Roster'!$B$5:$B$2000,B113,'PG Roster'!$C$5:$C$2000,C113)</f>
        <v/>
      </c>
      <c r="N113">
        <f>IFERROR(INDEX('Known Players'!$C$5:$C$500,MATCH(B113&amp;"|"&amp;C113,'Known Players'!$F$5:$F$500,0)),"")</f>
        <v/>
      </c>
      <c r="O113">
        <f>IFERROR(INDEX('Known Players'!$D$5:$D$500,MATCH(B113&amp;"|"&amp;C113,'Known Players'!$F$5:$F$500,0)),"")</f>
        <v/>
      </c>
      <c r="P113">
        <f>IFERROR(INDEX('Known Players'!$G$5:$G$500,MATCH(B113&amp;"|"&amp;C113,'Known Players'!$F$5:$F$500,0)),"")</f>
        <v/>
      </c>
    </row>
    <row r="114">
      <c r="A114" t="n">
        <v>45</v>
      </c>
      <c r="B114" t="inlineStr">
        <is>
          <t>Player0448</t>
        </is>
      </c>
      <c r="C114" t="inlineStr">
        <is>
          <t>SandboxRealm</t>
        </is>
      </c>
      <c r="D114" t="inlineStr">
        <is>
          <t>Horde</t>
        </is>
      </c>
      <c r="E114" t="n">
        <v>9</v>
      </c>
      <c r="F114" t="n">
        <v>8</v>
      </c>
      <c r="G114" t="n">
        <v>2</v>
      </c>
      <c r="H114" s="5" t="n">
        <v>79.548827</v>
      </c>
      <c r="I114" s="5" t="n">
        <v>6.667567</v>
      </c>
      <c r="J114" t="inlineStr">
        <is>
          <t>Carts controlled: 2</t>
        </is>
      </c>
      <c r="M114">
        <f>COUNTIFS($B$5:$B$2000,B114,$C$5:$C$2000,C114)+COUNTIFS('PG Roster'!$B$5:$B$2000,B114,'PG Roster'!$C$5:$C$2000,C114)</f>
        <v/>
      </c>
      <c r="N114">
        <f>IFERROR(INDEX('Known Players'!$C$5:$C$500,MATCH(B114&amp;"|"&amp;C114,'Known Players'!$F$5:$F$500,0)),"")</f>
        <v/>
      </c>
      <c r="O114">
        <f>IFERROR(INDEX('Known Players'!$D$5:$D$500,MATCH(B114&amp;"|"&amp;C114,'Known Players'!$F$5:$F$500,0)),"")</f>
        <v/>
      </c>
      <c r="P114">
        <f>IFERROR(INDEX('Known Players'!$G$5:$G$500,MATCH(B114&amp;"|"&amp;C114,'Known Players'!$F$5:$F$500,0)),"")</f>
        <v/>
      </c>
    </row>
    <row r="115">
      <c r="A115" t="n">
        <v>45</v>
      </c>
      <c r="B115" t="inlineStr">
        <is>
          <t>Player0161</t>
        </is>
      </c>
      <c r="C115" t="inlineStr">
        <is>
          <t>ExampleWorld135</t>
        </is>
      </c>
      <c r="D115" t="inlineStr">
        <is>
          <t>Horde</t>
        </is>
      </c>
      <c r="E115" t="n">
        <v>0</v>
      </c>
      <c r="F115" t="n">
        <v>1</v>
      </c>
      <c r="G115" t="n">
        <v>10</v>
      </c>
      <c r="H115" s="5" t="n">
        <v>30.228827</v>
      </c>
      <c r="I115" s="5" t="n">
        <v>5.571567</v>
      </c>
      <c r="J115" t="inlineStr">
        <is>
          <t>Carts controlled: 2</t>
        </is>
      </c>
      <c r="M115">
        <f>COUNTIFS($B$5:$B$2000,B115,$C$5:$C$2000,C115)+COUNTIFS('PG Roster'!$B$5:$B$2000,B115,'PG Roster'!$C$5:$C$2000,C115)</f>
        <v/>
      </c>
      <c r="N115">
        <f>IFERROR(INDEX('Known Players'!$C$5:$C$500,MATCH(B115&amp;"|"&amp;C115,'Known Players'!$F$5:$F$500,0)),"")</f>
        <v/>
      </c>
      <c r="O115">
        <f>IFERROR(INDEX('Known Players'!$D$5:$D$500,MATCH(B115&amp;"|"&amp;C115,'Known Players'!$F$5:$F$500,0)),"")</f>
        <v/>
      </c>
      <c r="P115">
        <f>IFERROR(INDEX('Known Players'!$G$5:$G$500,MATCH(B115&amp;"|"&amp;C115,'Known Players'!$F$5:$F$500,0)),"")</f>
        <v/>
      </c>
    </row>
    <row r="116">
      <c r="A116" t="n">
        <v>45</v>
      </c>
      <c r="B116" t="inlineStr">
        <is>
          <t>Emberguard</t>
        </is>
      </c>
      <c r="C116" t="inlineStr">
        <is>
          <t>SandboxRealm</t>
        </is>
      </c>
      <c r="D116" t="inlineStr">
        <is>
          <t>Horde</t>
        </is>
      </c>
      <c r="E116" t="n">
        <v>10</v>
      </c>
      <c r="F116" t="n">
        <v>2</v>
      </c>
      <c r="G116" t="n">
        <v>4</v>
      </c>
      <c r="H116" s="5" t="n">
        <v>85.02882700000001</v>
      </c>
      <c r="I116" s="5" t="n">
        <v>5.023567</v>
      </c>
      <c r="J116" t="inlineStr">
        <is>
          <t>Carts controlled: 1</t>
        </is>
      </c>
      <c r="M116">
        <f>COUNTIFS($B$5:$B$2000,B116,$C$5:$C$2000,C116)+COUNTIFS('PG Roster'!$B$5:$B$2000,B116,'PG Roster'!$C$5:$C$2000,C116)</f>
        <v/>
      </c>
      <c r="N116">
        <f>IFERROR(INDEX('Known Players'!$C$5:$C$500,MATCH(B116&amp;"|"&amp;C116,'Known Players'!$F$5:$F$500,0)),"")</f>
        <v/>
      </c>
      <c r="O116">
        <f>IFERROR(INDEX('Known Players'!$D$5:$D$500,MATCH(B116&amp;"|"&amp;C116,'Known Players'!$F$5:$F$500,0)),"")</f>
        <v/>
      </c>
      <c r="P116">
        <f>IFERROR(INDEX('Known Players'!$G$5:$G$500,MATCH(B116&amp;"|"&amp;C116,'Known Players'!$F$5:$F$500,0)),"")</f>
        <v/>
      </c>
    </row>
    <row r="117">
      <c r="A117" t="n">
        <v>45</v>
      </c>
      <c r="B117" t="inlineStr">
        <is>
          <t>Player0094</t>
        </is>
      </c>
      <c r="C117" t="inlineStr">
        <is>
          <t>ExampleWorld102</t>
        </is>
      </c>
      <c r="D117" t="inlineStr">
        <is>
          <t>Horde</t>
        </is>
      </c>
      <c r="E117" t="n">
        <v>0</v>
      </c>
      <c r="F117" t="n">
        <v>7</v>
      </c>
      <c r="G117" t="n">
        <v>4</v>
      </c>
      <c r="H117" s="5" t="n">
        <v>41.188827</v>
      </c>
      <c r="I117" s="5" t="n">
        <v>4.475567</v>
      </c>
      <c r="J117" t="inlineStr">
        <is>
          <t>Carts controlled: 3</t>
        </is>
      </c>
      <c r="M117">
        <f>COUNTIFS($B$5:$B$2000,B117,$C$5:$C$2000,C117)+COUNTIFS('PG Roster'!$B$5:$B$2000,B117,'PG Roster'!$C$5:$C$2000,C117)</f>
        <v/>
      </c>
      <c r="N117">
        <f>IFERROR(INDEX('Known Players'!$C$5:$C$500,MATCH(B117&amp;"|"&amp;C117,'Known Players'!$F$5:$F$500,0)),"")</f>
        <v/>
      </c>
      <c r="O117">
        <f>IFERROR(INDEX('Known Players'!$D$5:$D$500,MATCH(B117&amp;"|"&amp;C117,'Known Players'!$F$5:$F$500,0)),"")</f>
        <v/>
      </c>
      <c r="P117">
        <f>IFERROR(INDEX('Known Players'!$G$5:$G$500,MATCH(B117&amp;"|"&amp;C117,'Known Players'!$F$5:$F$500,0)),"")</f>
        <v/>
      </c>
    </row>
    <row r="118">
      <c r="A118" t="n">
        <v>45</v>
      </c>
      <c r="B118" t="inlineStr">
        <is>
          <t>Player0899</t>
        </is>
      </c>
      <c r="C118" t="inlineStr">
        <is>
          <t>ExampleWorld192</t>
        </is>
      </c>
      <c r="D118" t="inlineStr">
        <is>
          <t>Alliance</t>
        </is>
      </c>
      <c r="E118" t="n">
        <v>0</v>
      </c>
      <c r="F118" t="n">
        <v>4</v>
      </c>
      <c r="G118" t="n">
        <v>10</v>
      </c>
      <c r="H118" s="5" t="n">
        <v>26.392827</v>
      </c>
      <c r="I118" s="5" t="n">
        <v>186.411567</v>
      </c>
      <c r="J118" t="inlineStr">
        <is>
          <t>Carts controlled: 2</t>
        </is>
      </c>
      <c r="M118">
        <f>COUNTIFS($B$5:$B$2000,B118,$C$5:$C$2000,C118)+COUNTIFS('PG Roster'!$B$5:$B$2000,B118,'PG Roster'!$C$5:$C$2000,C118)</f>
        <v/>
      </c>
      <c r="N118">
        <f>IFERROR(INDEX('Known Players'!$C$5:$C$500,MATCH(B118&amp;"|"&amp;C118,'Known Players'!$F$5:$F$500,0)),"")</f>
        <v/>
      </c>
      <c r="O118">
        <f>IFERROR(INDEX('Known Players'!$D$5:$D$500,MATCH(B118&amp;"|"&amp;C118,'Known Players'!$F$5:$F$500,0)),"")</f>
        <v/>
      </c>
      <c r="P118">
        <f>IFERROR(INDEX('Known Players'!$G$5:$G$500,MATCH(B118&amp;"|"&amp;C118,'Known Players'!$F$5:$F$500,0)),"")</f>
        <v/>
      </c>
    </row>
    <row r="119">
      <c r="A119" t="n">
        <v>45</v>
      </c>
      <c r="B119" t="inlineStr">
        <is>
          <t>Player0888</t>
        </is>
      </c>
      <c r="C119" t="inlineStr">
        <is>
          <t>ExampleWorld192</t>
        </is>
      </c>
      <c r="D119" t="inlineStr">
        <is>
          <t>Alliance</t>
        </is>
      </c>
      <c r="E119" t="n">
        <v>4</v>
      </c>
      <c r="F119" t="n">
        <v>1</v>
      </c>
      <c r="G119" t="n">
        <v>2</v>
      </c>
      <c r="H119" s="5" t="n">
        <v>10.500827</v>
      </c>
      <c r="I119" s="5" t="n">
        <v>82.291567</v>
      </c>
      <c r="J119" t="inlineStr">
        <is>
          <t>Carts controlled: 1</t>
        </is>
      </c>
      <c r="M119">
        <f>COUNTIFS($B$5:$B$2000,B119,$C$5:$C$2000,C119)+COUNTIFS('PG Roster'!$B$5:$B$2000,B119,'PG Roster'!$C$5:$C$2000,C119)</f>
        <v/>
      </c>
      <c r="N119">
        <f>IFERROR(INDEX('Known Players'!$C$5:$C$500,MATCH(B119&amp;"|"&amp;C119,'Known Players'!$F$5:$F$500,0)),"")</f>
        <v/>
      </c>
      <c r="O119">
        <f>IFERROR(INDEX('Known Players'!$D$5:$D$500,MATCH(B119&amp;"|"&amp;C119,'Known Players'!$F$5:$F$500,0)),"")</f>
        <v/>
      </c>
      <c r="P119">
        <f>IFERROR(INDEX('Known Players'!$G$5:$G$500,MATCH(B119&amp;"|"&amp;C119,'Known Players'!$F$5:$F$500,0)),"")</f>
        <v/>
      </c>
    </row>
    <row r="120">
      <c r="A120" t="n">
        <v>45</v>
      </c>
      <c r="B120" t="inlineStr">
        <is>
          <t>Player0591</t>
        </is>
      </c>
      <c r="C120" t="inlineStr">
        <is>
          <t>ExampleWorld112</t>
        </is>
      </c>
      <c r="D120" t="inlineStr">
        <is>
          <t>Alliance</t>
        </is>
      </c>
      <c r="E120" t="n">
        <v>0</v>
      </c>
      <c r="F120" t="n">
        <v>7</v>
      </c>
      <c r="G120" t="n">
        <v>2</v>
      </c>
      <c r="H120" s="5" t="n">
        <v>8.582827</v>
      </c>
      <c r="I120" s="5" t="n">
        <v>54.891567</v>
      </c>
      <c r="J120" t="inlineStr">
        <is>
          <t>Crystal captures: 1, Carts controlled: 1</t>
        </is>
      </c>
      <c r="M120">
        <f>COUNTIFS($B$5:$B$2000,B120,$C$5:$C$2000,C120)+COUNTIFS('PG Roster'!$B$5:$B$2000,B120,'PG Roster'!$C$5:$C$2000,C120)</f>
        <v/>
      </c>
      <c r="N120">
        <f>IFERROR(INDEX('Known Players'!$C$5:$C$500,MATCH(B120&amp;"|"&amp;C120,'Known Players'!$F$5:$F$500,0)),"")</f>
        <v/>
      </c>
      <c r="O120">
        <f>IFERROR(INDEX('Known Players'!$D$5:$D$500,MATCH(B120&amp;"|"&amp;C120,'Known Players'!$F$5:$F$500,0)),"")</f>
        <v/>
      </c>
      <c r="P120">
        <f>IFERROR(INDEX('Known Players'!$G$5:$G$500,MATCH(B120&amp;"|"&amp;C120,'Known Players'!$F$5:$F$500,0)),"")</f>
        <v/>
      </c>
    </row>
    <row r="121">
      <c r="A121" t="n">
        <v>45</v>
      </c>
      <c r="B121" t="inlineStr">
        <is>
          <t>Player0349</t>
        </is>
      </c>
      <c r="C121" t="inlineStr">
        <is>
          <t>ExampleWorld133</t>
        </is>
      </c>
      <c r="D121" t="inlineStr">
        <is>
          <t>Alliance</t>
        </is>
      </c>
      <c r="E121" t="n">
        <v>10</v>
      </c>
      <c r="F121" t="n">
        <v>2</v>
      </c>
      <c r="G121" t="n">
        <v>10</v>
      </c>
      <c r="H121" s="5" t="n">
        <v>26.666827</v>
      </c>
      <c r="I121" s="5" t="n">
        <v>43.931567</v>
      </c>
      <c r="J121" t="inlineStr">
        <is>
          <t>Carts controlled: 4</t>
        </is>
      </c>
      <c r="M121">
        <f>COUNTIFS($B$5:$B$2000,B121,$C$5:$C$2000,C121)+COUNTIFS('PG Roster'!$B$5:$B$2000,B121,'PG Roster'!$C$5:$C$2000,C121)</f>
        <v/>
      </c>
      <c r="N121">
        <f>IFERROR(INDEX('Known Players'!$C$5:$C$500,MATCH(B121&amp;"|"&amp;C121,'Known Players'!$F$5:$F$500,0)),"")</f>
        <v/>
      </c>
      <c r="O121">
        <f>IFERROR(INDEX('Known Players'!$D$5:$D$500,MATCH(B121&amp;"|"&amp;C121,'Known Players'!$F$5:$F$500,0)),"")</f>
        <v/>
      </c>
      <c r="P121">
        <f>IFERROR(INDEX('Known Players'!$G$5:$G$500,MATCH(B121&amp;"|"&amp;C121,'Known Players'!$F$5:$F$500,0)),"")</f>
        <v/>
      </c>
    </row>
    <row r="122">
      <c r="A122" t="n">
        <v>45</v>
      </c>
      <c r="B122" t="inlineStr">
        <is>
          <t>Player0277</t>
        </is>
      </c>
      <c r="C122" t="inlineStr">
        <is>
          <t>ExampleWorld131</t>
        </is>
      </c>
      <c r="D122" t="inlineStr">
        <is>
          <t>Alliance</t>
        </is>
      </c>
      <c r="E122" t="n">
        <v>7</v>
      </c>
      <c r="F122" t="n">
        <v>0</v>
      </c>
      <c r="G122" t="n">
        <v>5</v>
      </c>
      <c r="H122" s="5" t="n">
        <v>46.668827</v>
      </c>
      <c r="I122" s="5" t="n">
        <v>27.217567</v>
      </c>
      <c r="J122" t="inlineStr">
        <is>
          <t>Carts controlled: 1</t>
        </is>
      </c>
      <c r="M122">
        <f>COUNTIFS($B$5:$B$2000,B122,$C$5:$C$2000,C122)+COUNTIFS('PG Roster'!$B$5:$B$2000,B122,'PG Roster'!$C$5:$C$2000,C122)</f>
        <v/>
      </c>
      <c r="N122">
        <f>IFERROR(INDEX('Known Players'!$C$5:$C$500,MATCH(B122&amp;"|"&amp;C122,'Known Players'!$F$5:$F$500,0)),"")</f>
        <v/>
      </c>
      <c r="O122">
        <f>IFERROR(INDEX('Known Players'!$D$5:$D$500,MATCH(B122&amp;"|"&amp;C122,'Known Players'!$F$5:$F$500,0)),"")</f>
        <v/>
      </c>
      <c r="P122">
        <f>IFERROR(INDEX('Known Players'!$G$5:$G$500,MATCH(B122&amp;"|"&amp;C122,'Known Players'!$F$5:$F$500,0)),"")</f>
        <v/>
      </c>
    </row>
    <row r="123">
      <c r="A123" t="n">
        <v>45</v>
      </c>
      <c r="B123" t="inlineStr">
        <is>
          <t>Player0264</t>
        </is>
      </c>
      <c r="C123" t="inlineStr">
        <is>
          <t>ExampleWorld133</t>
        </is>
      </c>
      <c r="D123" t="inlineStr">
        <is>
          <t>Alliance</t>
        </is>
      </c>
      <c r="E123" t="n">
        <v>5</v>
      </c>
      <c r="F123" t="n">
        <v>4</v>
      </c>
      <c r="G123" t="n">
        <v>8</v>
      </c>
      <c r="H123" s="5" t="n">
        <v>46.668827</v>
      </c>
      <c r="I123" s="5" t="n">
        <v>11.599567</v>
      </c>
      <c r="M123">
        <f>COUNTIFS($B$5:$B$2000,B123,$C$5:$C$2000,C123)+COUNTIFS('PG Roster'!$B$5:$B$2000,B123,'PG Roster'!$C$5:$C$2000,C123)</f>
        <v/>
      </c>
      <c r="N123">
        <f>IFERROR(INDEX('Known Players'!$C$5:$C$500,MATCH(B123&amp;"|"&amp;C123,'Known Players'!$F$5:$F$500,0)),"")</f>
        <v/>
      </c>
      <c r="O123">
        <f>IFERROR(INDEX('Known Players'!$D$5:$D$500,MATCH(B123&amp;"|"&amp;C123,'Known Players'!$F$5:$F$500,0)),"")</f>
        <v/>
      </c>
      <c r="P123">
        <f>IFERROR(INDEX('Known Players'!$G$5:$G$500,MATCH(B123&amp;"|"&amp;C123,'Known Players'!$F$5:$F$500,0)),"")</f>
        <v/>
      </c>
    </row>
    <row r="124">
      <c r="A124" t="n">
        <v>45</v>
      </c>
      <c r="B124" t="inlineStr">
        <is>
          <t>Player0087</t>
        </is>
      </c>
      <c r="C124" t="inlineStr">
        <is>
          <t>ExampleWorld062</t>
        </is>
      </c>
      <c r="D124" t="inlineStr">
        <is>
          <t>Alliance</t>
        </is>
      </c>
      <c r="E124" t="n">
        <v>7</v>
      </c>
      <c r="F124" t="n">
        <v>10</v>
      </c>
      <c r="G124" t="n">
        <v>5</v>
      </c>
      <c r="H124" s="5" t="n">
        <v>54.888827</v>
      </c>
      <c r="I124" s="5" t="n">
        <v>5.297567</v>
      </c>
      <c r="M124">
        <f>COUNTIFS($B$5:$B$2000,B124,$C$5:$C$2000,C124)+COUNTIFS('PG Roster'!$B$5:$B$2000,B124,'PG Roster'!$C$5:$C$2000,C124)</f>
        <v/>
      </c>
      <c r="N124">
        <f>IFERROR(INDEX('Known Players'!$C$5:$C$500,MATCH(B124&amp;"|"&amp;C124,'Known Players'!$F$5:$F$500,0)),"")</f>
        <v/>
      </c>
      <c r="O124">
        <f>IFERROR(INDEX('Known Players'!$D$5:$D$500,MATCH(B124&amp;"|"&amp;C124,'Known Players'!$F$5:$F$500,0)),"")</f>
        <v/>
      </c>
      <c r="P124">
        <f>IFERROR(INDEX('Known Players'!$G$5:$G$500,MATCH(B124&amp;"|"&amp;C124,'Known Players'!$F$5:$F$500,0)),"")</f>
        <v/>
      </c>
    </row>
    <row r="125">
      <c r="A125" t="n">
        <v>45</v>
      </c>
      <c r="B125" t="inlineStr">
        <is>
          <t>Player0795</t>
        </is>
      </c>
      <c r="C125" t="inlineStr">
        <is>
          <t>ExampleWorld148</t>
        </is>
      </c>
      <c r="D125" t="inlineStr">
        <is>
          <t>Alliance</t>
        </is>
      </c>
      <c r="E125" t="n">
        <v>0</v>
      </c>
      <c r="F125" t="n">
        <v>1</v>
      </c>
      <c r="G125" t="n">
        <v>5</v>
      </c>
      <c r="H125" s="5" t="n">
        <v>8.308827000000001</v>
      </c>
      <c r="I125" s="5" t="n">
        <v>3.105567</v>
      </c>
      <c r="J125" t="inlineStr">
        <is>
          <t>Carts controlled: 3</t>
        </is>
      </c>
      <c r="M125">
        <f>COUNTIFS($B$5:$B$2000,B125,$C$5:$C$2000,C125)+COUNTIFS('PG Roster'!$B$5:$B$2000,B125,'PG Roster'!$C$5:$C$2000,C125)</f>
        <v/>
      </c>
      <c r="N125">
        <f>IFERROR(INDEX('Known Players'!$C$5:$C$500,MATCH(B125&amp;"|"&amp;C125,'Known Players'!$F$5:$F$500,0)),"")</f>
        <v/>
      </c>
      <c r="O125">
        <f>IFERROR(INDEX('Known Players'!$D$5:$D$500,MATCH(B125&amp;"|"&amp;C125,'Known Players'!$F$5:$F$500,0)),"")</f>
        <v/>
      </c>
      <c r="P125">
        <f>IFERROR(INDEX('Known Players'!$G$5:$G$500,MATCH(B125&amp;"|"&amp;C125,'Known Players'!$F$5:$F$500,0)),"")</f>
        <v/>
      </c>
    </row>
    <row r="126">
      <c r="A126" t="n">
        <v>45</v>
      </c>
      <c r="B126" t="inlineStr">
        <is>
          <t>Player0202</t>
        </is>
      </c>
      <c r="C126" t="inlineStr">
        <is>
          <t>ExampleWorld148</t>
        </is>
      </c>
      <c r="D126" t="inlineStr">
        <is>
          <t>Alliance</t>
        </is>
      </c>
      <c r="E126" t="n">
        <v>0</v>
      </c>
      <c r="F126" t="n">
        <v>4</v>
      </c>
      <c r="G126" t="n">
        <v>2</v>
      </c>
      <c r="H126" s="5" t="n">
        <v>26.118827</v>
      </c>
      <c r="I126" s="5" t="n">
        <v>3.105567</v>
      </c>
      <c r="M126">
        <f>COUNTIFS($B$5:$B$2000,B126,$C$5:$C$2000,C126)+COUNTIFS('PG Roster'!$B$5:$B$2000,B126,'PG Roster'!$C$5:$C$2000,C126)</f>
        <v/>
      </c>
      <c r="N126">
        <f>IFERROR(INDEX('Known Players'!$C$5:$C$500,MATCH(B126&amp;"|"&amp;C126,'Known Players'!$F$5:$F$500,0)),"")</f>
        <v/>
      </c>
      <c r="O126">
        <f>IFERROR(INDEX('Known Players'!$D$5:$D$500,MATCH(B126&amp;"|"&amp;C126,'Known Players'!$F$5:$F$500,0)),"")</f>
        <v/>
      </c>
      <c r="P126">
        <f>IFERROR(INDEX('Known Players'!$G$5:$G$500,MATCH(B126&amp;"|"&amp;C126,'Known Players'!$F$5:$F$500,0)),"")</f>
        <v/>
      </c>
    </row>
    <row r="127">
      <c r="A127" t="n">
        <v>45</v>
      </c>
      <c r="B127" t="inlineStr">
        <is>
          <t>Player0453</t>
        </is>
      </c>
      <c r="C127" t="inlineStr">
        <is>
          <t>SandboxRealm</t>
        </is>
      </c>
      <c r="D127" t="inlineStr">
        <is>
          <t>Alliance</t>
        </is>
      </c>
      <c r="E127" t="n">
        <v>0</v>
      </c>
      <c r="F127" t="n">
        <v>0</v>
      </c>
      <c r="G127" t="n">
        <v>0</v>
      </c>
      <c r="H127" s="5" t="n">
        <v>0</v>
      </c>
      <c r="I127" s="5" t="n">
        <v>0</v>
      </c>
      <c r="K127" t="inlineStr">
        <is>
          <t>Synthetic example</t>
        </is>
      </c>
      <c r="M127">
        <f>COUNTIFS($B$5:$B$2000,B127,$C$5:$C$2000,C127)+COUNTIFS('PG Roster'!$B$5:$B$2000,B127,'PG Roster'!$C$5:$C$2000,C127)</f>
        <v/>
      </c>
      <c r="N127">
        <f>IFERROR(INDEX('Known Players'!$C$5:$C$500,MATCH(B127&amp;"|"&amp;C127,'Known Players'!$F$5:$F$500,0)),"")</f>
        <v/>
      </c>
      <c r="O127">
        <f>IFERROR(INDEX('Known Players'!$D$5:$D$500,MATCH(B127&amp;"|"&amp;C127,'Known Players'!$F$5:$F$500,0)),"")</f>
        <v/>
      </c>
      <c r="P127">
        <f>IFERROR(INDEX('Known Players'!$G$5:$G$500,MATCH(B127&amp;"|"&amp;C127,'Known Players'!$F$5:$F$500,0)),"")</f>
        <v/>
      </c>
    </row>
    <row r="128">
      <c r="A128" t="n">
        <v>46</v>
      </c>
      <c r="B128" t="inlineStr">
        <is>
          <t>Mossweaver</t>
        </is>
      </c>
      <c r="C128" t="inlineStr">
        <is>
          <t>exampleworld001</t>
        </is>
      </c>
      <c r="D128" t="inlineStr">
        <is>
          <t>Horde</t>
        </is>
      </c>
      <c r="E128" t="n">
        <v>0</v>
      </c>
      <c r="F128" t="n">
        <v>7</v>
      </c>
      <c r="G128" t="n">
        <v>4</v>
      </c>
      <c r="H128" s="5" t="n">
        <v>3.541227</v>
      </c>
      <c r="I128" s="5" t="n">
        <v>106.978967</v>
      </c>
      <c r="M128">
        <f>COUNTIFS($B$5:$B$2000,B128,$C$5:$C$2000,C128)+COUNTIFS('PG Roster'!$B$5:$B$2000,B128,'PG Roster'!$C$5:$C$2000,C128)</f>
        <v/>
      </c>
      <c r="N128">
        <f>IFERROR(INDEX('Known Players'!$C$5:$C$500,MATCH(B128&amp;"|"&amp;C128,'Known Players'!$F$5:$F$500,0)),"")</f>
        <v/>
      </c>
      <c r="O128">
        <f>IFERROR(INDEX('Known Players'!$D$5:$D$500,MATCH(B128&amp;"|"&amp;C128,'Known Players'!$F$5:$F$500,0)),"")</f>
        <v/>
      </c>
      <c r="P128">
        <f>IFERROR(INDEX('Known Players'!$G$5:$G$500,MATCH(B128&amp;"|"&amp;C128,'Known Players'!$F$5:$F$500,0)),"")</f>
        <v/>
      </c>
    </row>
    <row r="129">
      <c r="A129" t="n">
        <v>46</v>
      </c>
      <c r="B129" t="inlineStr">
        <is>
          <t>Player0665</t>
        </is>
      </c>
      <c r="C129" t="inlineStr">
        <is>
          <t>ExampleWorld014</t>
        </is>
      </c>
      <c r="D129" t="inlineStr">
        <is>
          <t>Horde</t>
        </is>
      </c>
      <c r="E129" t="n">
        <v>4</v>
      </c>
      <c r="F129" t="n">
        <v>9</v>
      </c>
      <c r="G129" t="n">
        <v>7</v>
      </c>
      <c r="H129" s="5" t="n">
        <v>16.254827</v>
      </c>
      <c r="I129" s="5" t="n">
        <v>95.991567</v>
      </c>
      <c r="M129">
        <f>COUNTIFS($B$5:$B$2000,B129,$C$5:$C$2000,C129)+COUNTIFS('PG Roster'!$B$5:$B$2000,B129,'PG Roster'!$C$5:$C$2000,C129)</f>
        <v/>
      </c>
      <c r="N129">
        <f>IFERROR(INDEX('Known Players'!$C$5:$C$500,MATCH(B129&amp;"|"&amp;C129,'Known Players'!$F$5:$F$500,0)),"")</f>
        <v/>
      </c>
      <c r="O129">
        <f>IFERROR(INDEX('Known Players'!$D$5:$D$500,MATCH(B129&amp;"|"&amp;C129,'Known Players'!$F$5:$F$500,0)),"")</f>
        <v/>
      </c>
      <c r="P129">
        <f>IFERROR(INDEX('Known Players'!$G$5:$G$500,MATCH(B129&amp;"|"&amp;C129,'Known Players'!$F$5:$F$500,0)),"")</f>
        <v/>
      </c>
    </row>
    <row r="130">
      <c r="A130" t="n">
        <v>46</v>
      </c>
      <c r="B130" t="inlineStr">
        <is>
          <t>Snowflare</t>
        </is>
      </c>
      <c r="C130" t="inlineStr">
        <is>
          <t>SandboxRealm</t>
        </is>
      </c>
      <c r="D130" t="inlineStr">
        <is>
          <t>Horde</t>
        </is>
      </c>
      <c r="E130" t="n">
        <v>2</v>
      </c>
      <c r="F130" t="n">
        <v>10</v>
      </c>
      <c r="G130" t="n">
        <v>0</v>
      </c>
      <c r="H130" s="5" t="n">
        <v>87.768827</v>
      </c>
      <c r="I130" s="5" t="n">
        <v>17.079567</v>
      </c>
      <c r="M130">
        <f>COUNTIFS($B$5:$B$2000,B130,$C$5:$C$2000,C130)+COUNTIFS('PG Roster'!$B$5:$B$2000,B130,'PG Roster'!$C$5:$C$2000,C130)</f>
        <v/>
      </c>
      <c r="N130">
        <f>IFERROR(INDEX('Known Players'!$C$5:$C$500,MATCH(B130&amp;"|"&amp;C130,'Known Players'!$F$5:$F$500,0)),"")</f>
        <v/>
      </c>
      <c r="O130">
        <f>IFERROR(INDEX('Known Players'!$D$5:$D$500,MATCH(B130&amp;"|"&amp;C130,'Known Players'!$F$5:$F$500,0)),"")</f>
        <v/>
      </c>
      <c r="P130">
        <f>IFERROR(INDEX('Known Players'!$G$5:$G$500,MATCH(B130&amp;"|"&amp;C130,'Known Players'!$F$5:$F$500,0)),"")</f>
        <v/>
      </c>
    </row>
    <row r="131">
      <c r="A131" t="n">
        <v>46</v>
      </c>
      <c r="B131" t="inlineStr">
        <is>
          <t>Player0076</t>
        </is>
      </c>
      <c r="C131" t="inlineStr">
        <is>
          <t>ExampleWorld102</t>
        </is>
      </c>
      <c r="D131" t="inlineStr">
        <is>
          <t>Horde</t>
        </is>
      </c>
      <c r="E131" t="n">
        <v>10</v>
      </c>
      <c r="F131" t="n">
        <v>6</v>
      </c>
      <c r="G131" t="n">
        <v>4</v>
      </c>
      <c r="H131" s="5" t="n">
        <v>60.368827</v>
      </c>
      <c r="I131" s="5" t="n">
        <v>16.531567</v>
      </c>
      <c r="M131">
        <f>COUNTIFS($B$5:$B$2000,B131,$C$5:$C$2000,C131)+COUNTIFS('PG Roster'!$B$5:$B$2000,B131,'PG Roster'!$C$5:$C$2000,C131)</f>
        <v/>
      </c>
      <c r="N131">
        <f>IFERROR(INDEX('Known Players'!$C$5:$C$500,MATCH(B131&amp;"|"&amp;C131,'Known Players'!$F$5:$F$500,0)),"")</f>
        <v/>
      </c>
      <c r="O131">
        <f>IFERROR(INDEX('Known Players'!$D$5:$D$500,MATCH(B131&amp;"|"&amp;C131,'Known Players'!$F$5:$F$500,0)),"")</f>
        <v/>
      </c>
      <c r="P131">
        <f>IFERROR(INDEX('Known Players'!$G$5:$G$500,MATCH(B131&amp;"|"&amp;C131,'Known Players'!$F$5:$F$500,0)),"")</f>
        <v/>
      </c>
    </row>
    <row r="132">
      <c r="A132" t="n">
        <v>46</v>
      </c>
      <c r="B132" t="inlineStr">
        <is>
          <t>Player0050</t>
        </is>
      </c>
      <c r="C132" t="inlineStr">
        <is>
          <t>SandboxRealm</t>
        </is>
      </c>
      <c r="D132" t="inlineStr">
        <is>
          <t>Horde</t>
        </is>
      </c>
      <c r="E132" t="n">
        <v>6</v>
      </c>
      <c r="F132" t="n">
        <v>7</v>
      </c>
      <c r="G132" t="n">
        <v>0</v>
      </c>
      <c r="H132" s="5" t="n">
        <v>117.908827</v>
      </c>
      <c r="I132" s="5" t="n">
        <v>14.339567</v>
      </c>
      <c r="M132">
        <f>COUNTIFS($B$5:$B$2000,B132,$C$5:$C$2000,C132)+COUNTIFS('PG Roster'!$B$5:$B$2000,B132,'PG Roster'!$C$5:$C$2000,C132)</f>
        <v/>
      </c>
      <c r="N132">
        <f>IFERROR(INDEX('Known Players'!$C$5:$C$500,MATCH(B132&amp;"|"&amp;C132,'Known Players'!$F$5:$F$500,0)),"")</f>
        <v/>
      </c>
      <c r="O132">
        <f>IFERROR(INDEX('Known Players'!$D$5:$D$500,MATCH(B132&amp;"|"&amp;C132,'Known Players'!$F$5:$F$500,0)),"")</f>
        <v/>
      </c>
      <c r="P132">
        <f>IFERROR(INDEX('Known Players'!$G$5:$G$500,MATCH(B132&amp;"|"&amp;C132,'Known Players'!$F$5:$F$500,0)),"")</f>
        <v/>
      </c>
    </row>
    <row r="133">
      <c r="A133" t="n">
        <v>46</v>
      </c>
      <c r="B133" t="inlineStr">
        <is>
          <t>Player0268</t>
        </is>
      </c>
      <c r="C133" t="inlineStr">
        <is>
          <t>SandboxRealm</t>
        </is>
      </c>
      <c r="D133" t="inlineStr">
        <is>
          <t>Horde</t>
        </is>
      </c>
      <c r="E133" t="n">
        <v>7</v>
      </c>
      <c r="F133" t="n">
        <v>6</v>
      </c>
      <c r="G133" t="n">
        <v>7</v>
      </c>
      <c r="H133" s="5" t="n">
        <v>38.448827</v>
      </c>
      <c r="I133" s="5" t="n">
        <v>13.791567</v>
      </c>
      <c r="J133" t="inlineStr">
        <is>
          <t>Flag captures: 2</t>
        </is>
      </c>
      <c r="M133">
        <f>COUNTIFS($B$5:$B$2000,B133,$C$5:$C$2000,C133)+COUNTIFS('PG Roster'!$B$5:$B$2000,B133,'PG Roster'!$C$5:$C$2000,C133)</f>
        <v/>
      </c>
      <c r="N133">
        <f>IFERROR(INDEX('Known Players'!$C$5:$C$500,MATCH(B133&amp;"|"&amp;C133,'Known Players'!$F$5:$F$500,0)),"")</f>
        <v/>
      </c>
      <c r="O133">
        <f>IFERROR(INDEX('Known Players'!$D$5:$D$500,MATCH(B133&amp;"|"&amp;C133,'Known Players'!$F$5:$F$500,0)),"")</f>
        <v/>
      </c>
      <c r="P133">
        <f>IFERROR(INDEX('Known Players'!$G$5:$G$500,MATCH(B133&amp;"|"&amp;C133,'Known Players'!$F$5:$F$500,0)),"")</f>
        <v/>
      </c>
    </row>
    <row r="134">
      <c r="A134" t="n">
        <v>46</v>
      </c>
      <c r="B134" t="inlineStr">
        <is>
          <t>Player0188</t>
        </is>
      </c>
      <c r="C134" t="inlineStr">
        <is>
          <t>ExampleWorld161</t>
        </is>
      </c>
      <c r="D134" t="inlineStr">
        <is>
          <t>Horde</t>
        </is>
      </c>
      <c r="E134" t="n">
        <v>9</v>
      </c>
      <c r="F134" t="n">
        <v>7</v>
      </c>
      <c r="G134" t="n">
        <v>0</v>
      </c>
      <c r="H134" s="5" t="n">
        <v>60.368827</v>
      </c>
      <c r="I134" s="5" t="n">
        <v>13.517567</v>
      </c>
      <c r="J134" t="inlineStr">
        <is>
          <t>Flag returns: 1</t>
        </is>
      </c>
      <c r="M134">
        <f>COUNTIFS($B$5:$B$2000,B134,$C$5:$C$2000,C134)+COUNTIFS('PG Roster'!$B$5:$B$2000,B134,'PG Roster'!$C$5:$C$2000,C134)</f>
        <v/>
      </c>
      <c r="N134">
        <f>IFERROR(INDEX('Known Players'!$C$5:$C$500,MATCH(B134&amp;"|"&amp;C134,'Known Players'!$F$5:$F$500,0)),"")</f>
        <v/>
      </c>
      <c r="O134">
        <f>IFERROR(INDEX('Known Players'!$D$5:$D$500,MATCH(B134&amp;"|"&amp;C134,'Known Players'!$F$5:$F$500,0)),"")</f>
        <v/>
      </c>
      <c r="P134">
        <f>IFERROR(INDEX('Known Players'!$G$5:$G$500,MATCH(B134&amp;"|"&amp;C134,'Known Players'!$F$5:$F$500,0)),"")</f>
        <v/>
      </c>
    </row>
    <row r="135">
      <c r="A135" t="n">
        <v>46</v>
      </c>
      <c r="B135" t="inlineStr">
        <is>
          <t>Player0308</t>
        </is>
      </c>
      <c r="C135" t="inlineStr">
        <is>
          <t>ExampleWorld127</t>
        </is>
      </c>
      <c r="D135" t="inlineStr">
        <is>
          <t>Horde</t>
        </is>
      </c>
      <c r="E135" t="n">
        <v>8</v>
      </c>
      <c r="F135" t="n">
        <v>9</v>
      </c>
      <c r="G135" t="n">
        <v>0</v>
      </c>
      <c r="H135" s="5" t="n">
        <v>52.148827</v>
      </c>
      <c r="I135" s="5" t="n">
        <v>11.325567</v>
      </c>
      <c r="J135" t="inlineStr">
        <is>
          <t>Flag returns: 2, captures: 1</t>
        </is>
      </c>
      <c r="M135">
        <f>COUNTIFS($B$5:$B$2000,B135,$C$5:$C$2000,C135)+COUNTIFS('PG Roster'!$B$5:$B$2000,B135,'PG Roster'!$C$5:$C$2000,C135)</f>
        <v/>
      </c>
      <c r="N135">
        <f>IFERROR(INDEX('Known Players'!$C$5:$C$500,MATCH(B135&amp;"|"&amp;C135,'Known Players'!$F$5:$F$500,0)),"")</f>
        <v/>
      </c>
      <c r="O135">
        <f>IFERROR(INDEX('Known Players'!$D$5:$D$500,MATCH(B135&amp;"|"&amp;C135,'Known Players'!$F$5:$F$500,0)),"")</f>
        <v/>
      </c>
      <c r="P135">
        <f>IFERROR(INDEX('Known Players'!$G$5:$G$500,MATCH(B135&amp;"|"&amp;C135,'Known Players'!$F$5:$F$500,0)),"")</f>
        <v/>
      </c>
    </row>
    <row r="136">
      <c r="A136" t="n">
        <v>46</v>
      </c>
      <c r="B136" t="inlineStr">
        <is>
          <t>Player0004</t>
        </is>
      </c>
      <c r="C136" t="inlineStr">
        <is>
          <t>ExampleWorld167</t>
        </is>
      </c>
      <c r="D136" t="inlineStr">
        <is>
          <t>Horde</t>
        </is>
      </c>
      <c r="E136" t="n">
        <v>10</v>
      </c>
      <c r="F136" t="n">
        <v>4</v>
      </c>
      <c r="G136" t="n">
        <v>4</v>
      </c>
      <c r="H136" s="5" t="n">
        <v>21.734827</v>
      </c>
      <c r="I136" s="5" t="n">
        <v>9.133566999999999</v>
      </c>
      <c r="M136">
        <f>COUNTIFS($B$5:$B$2000,B136,$C$5:$C$2000,C136)+COUNTIFS('PG Roster'!$B$5:$B$2000,B136,'PG Roster'!$C$5:$C$2000,C136)</f>
        <v/>
      </c>
      <c r="N136">
        <f>IFERROR(INDEX('Known Players'!$C$5:$C$500,MATCH(B136&amp;"|"&amp;C136,'Known Players'!$F$5:$F$500,0)),"")</f>
        <v/>
      </c>
      <c r="O136">
        <f>IFERROR(INDEX('Known Players'!$D$5:$D$500,MATCH(B136&amp;"|"&amp;C136,'Known Players'!$F$5:$F$500,0)),"")</f>
        <v/>
      </c>
      <c r="P136">
        <f>IFERROR(INDEX('Known Players'!$G$5:$G$500,MATCH(B136&amp;"|"&amp;C136,'Known Players'!$F$5:$F$500,0)),"")</f>
        <v/>
      </c>
    </row>
    <row r="137">
      <c r="A137" t="n">
        <v>46</v>
      </c>
      <c r="B137" t="inlineStr">
        <is>
          <t>Emberguard</t>
        </is>
      </c>
      <c r="C137" t="inlineStr">
        <is>
          <t>SandboxRealm</t>
        </is>
      </c>
      <c r="D137" t="inlineStr">
        <is>
          <t>Horde</t>
        </is>
      </c>
      <c r="E137" t="n">
        <v>9</v>
      </c>
      <c r="F137" t="n">
        <v>7</v>
      </c>
      <c r="G137" t="n">
        <v>0</v>
      </c>
      <c r="H137" s="5" t="n">
        <v>68.58882699999999</v>
      </c>
      <c r="I137" s="5" t="n">
        <v>7.763567</v>
      </c>
      <c r="M137">
        <f>COUNTIFS($B$5:$B$2000,B137,$C$5:$C$2000,C137)+COUNTIFS('PG Roster'!$B$5:$B$2000,B137,'PG Roster'!$C$5:$C$2000,C137)</f>
        <v/>
      </c>
      <c r="N137">
        <f>IFERROR(INDEX('Known Players'!$C$5:$C$500,MATCH(B137&amp;"|"&amp;C137,'Known Players'!$F$5:$F$500,0)),"")</f>
        <v/>
      </c>
      <c r="O137">
        <f>IFERROR(INDEX('Known Players'!$D$5:$D$500,MATCH(B137&amp;"|"&amp;C137,'Known Players'!$F$5:$F$500,0)),"")</f>
        <v/>
      </c>
      <c r="P137">
        <f>IFERROR(INDEX('Known Players'!$G$5:$G$500,MATCH(B137&amp;"|"&amp;C137,'Known Players'!$F$5:$F$500,0)),"")</f>
        <v/>
      </c>
    </row>
    <row r="138">
      <c r="A138" t="n">
        <v>46</v>
      </c>
      <c r="B138" t="inlineStr">
        <is>
          <t>Player0075</t>
        </is>
      </c>
      <c r="C138" t="inlineStr">
        <is>
          <t>ExampleWorld133</t>
        </is>
      </c>
      <c r="D138" t="inlineStr">
        <is>
          <t>Alliance</t>
        </is>
      </c>
      <c r="E138" t="n">
        <v>0</v>
      </c>
      <c r="F138" t="n">
        <v>2</v>
      </c>
      <c r="G138" t="n">
        <v>2</v>
      </c>
      <c r="H138" s="5" t="n">
        <v>5.568827</v>
      </c>
      <c r="I138" s="5" t="n">
        <v>183.671567</v>
      </c>
      <c r="M138">
        <f>COUNTIFS($B$5:$B$2000,B138,$C$5:$C$2000,C138)+COUNTIFS('PG Roster'!$B$5:$B$2000,B138,'PG Roster'!$C$5:$C$2000,C138)</f>
        <v/>
      </c>
      <c r="N138">
        <f>IFERROR(INDEX('Known Players'!$C$5:$C$500,MATCH(B138&amp;"|"&amp;C138,'Known Players'!$F$5:$F$500,0)),"")</f>
        <v/>
      </c>
      <c r="O138">
        <f>IFERROR(INDEX('Known Players'!$D$5:$D$500,MATCH(B138&amp;"|"&amp;C138,'Known Players'!$F$5:$F$500,0)),"")</f>
        <v/>
      </c>
      <c r="P138">
        <f>IFERROR(INDEX('Known Players'!$G$5:$G$500,MATCH(B138&amp;"|"&amp;C138,'Known Players'!$F$5:$F$500,0)),"")</f>
        <v/>
      </c>
    </row>
    <row r="139">
      <c r="A139" t="n">
        <v>46</v>
      </c>
      <c r="B139" t="inlineStr">
        <is>
          <t>Player0943</t>
        </is>
      </c>
      <c r="C139" t="inlineStr">
        <is>
          <t>ExampleWorld143</t>
        </is>
      </c>
      <c r="D139" t="inlineStr">
        <is>
          <t>Alliance</t>
        </is>
      </c>
      <c r="E139" t="n">
        <v>0</v>
      </c>
      <c r="F139" t="n">
        <v>8</v>
      </c>
      <c r="G139" t="n">
        <v>6</v>
      </c>
      <c r="H139" s="5" t="n">
        <v>2.157527</v>
      </c>
      <c r="I139" s="5" t="n">
        <v>123.391567</v>
      </c>
      <c r="M139">
        <f>COUNTIFS($B$5:$B$2000,B139,$C$5:$C$2000,C139)+COUNTIFS('PG Roster'!$B$5:$B$2000,B139,'PG Roster'!$C$5:$C$2000,C139)</f>
        <v/>
      </c>
      <c r="N139">
        <f>IFERROR(INDEX('Known Players'!$C$5:$C$500,MATCH(B139&amp;"|"&amp;C139,'Known Players'!$F$5:$F$500,0)),"")</f>
        <v/>
      </c>
      <c r="O139">
        <f>IFERROR(INDEX('Known Players'!$D$5:$D$500,MATCH(B139&amp;"|"&amp;C139,'Known Players'!$F$5:$F$500,0)),"")</f>
        <v/>
      </c>
      <c r="P139">
        <f>IFERROR(INDEX('Known Players'!$G$5:$G$500,MATCH(B139&amp;"|"&amp;C139,'Known Players'!$F$5:$F$500,0)),"")</f>
        <v/>
      </c>
    </row>
    <row r="140">
      <c r="A140" t="n">
        <v>46</v>
      </c>
      <c r="B140" t="inlineStr">
        <is>
          <t>Player0935</t>
        </is>
      </c>
      <c r="C140" t="inlineStr">
        <is>
          <t>ExampleWorld102</t>
        </is>
      </c>
      <c r="D140" t="inlineStr">
        <is>
          <t>Alliance</t>
        </is>
      </c>
      <c r="E140" t="n">
        <v>7</v>
      </c>
      <c r="F140" t="n">
        <v>8</v>
      </c>
      <c r="G140" t="n">
        <v>2</v>
      </c>
      <c r="H140" s="5" t="n">
        <v>65.848827</v>
      </c>
      <c r="I140" s="5" t="n">
        <v>17.353567</v>
      </c>
      <c r="M140">
        <f>COUNTIFS($B$5:$B$2000,B140,$C$5:$C$2000,C140)+COUNTIFS('PG Roster'!$B$5:$B$2000,B140,'PG Roster'!$C$5:$C$2000,C140)</f>
        <v/>
      </c>
      <c r="N140">
        <f>IFERROR(INDEX('Known Players'!$C$5:$C$500,MATCH(B140&amp;"|"&amp;C140,'Known Players'!$F$5:$F$500,0)),"")</f>
        <v/>
      </c>
      <c r="O140">
        <f>IFERROR(INDEX('Known Players'!$D$5:$D$500,MATCH(B140&amp;"|"&amp;C140,'Known Players'!$F$5:$F$500,0)),"")</f>
        <v/>
      </c>
      <c r="P140">
        <f>IFERROR(INDEX('Known Players'!$G$5:$G$500,MATCH(B140&amp;"|"&amp;C140,'Known Players'!$F$5:$F$500,0)),"")</f>
        <v/>
      </c>
    </row>
    <row r="141">
      <c r="A141" t="n">
        <v>46</v>
      </c>
      <c r="B141" t="inlineStr">
        <is>
          <t>Player0607</t>
        </is>
      </c>
      <c r="C141" t="inlineStr">
        <is>
          <t>ExampleWorld052</t>
        </is>
      </c>
      <c r="D141" t="inlineStr">
        <is>
          <t>Alliance</t>
        </is>
      </c>
      <c r="E141" t="n">
        <v>4</v>
      </c>
      <c r="F141" t="n">
        <v>8</v>
      </c>
      <c r="G141" t="n">
        <v>7</v>
      </c>
      <c r="H141" s="5" t="n">
        <v>52.148827</v>
      </c>
      <c r="I141" s="5" t="n">
        <v>16.805567</v>
      </c>
      <c r="M141">
        <f>COUNTIFS($B$5:$B$2000,B141,$C$5:$C$2000,C141)+COUNTIFS('PG Roster'!$B$5:$B$2000,B141,'PG Roster'!$C$5:$C$2000,C141)</f>
        <v/>
      </c>
      <c r="N141">
        <f>IFERROR(INDEX('Known Players'!$C$5:$C$500,MATCH(B141&amp;"|"&amp;C141,'Known Players'!$F$5:$F$500,0)),"")</f>
        <v/>
      </c>
      <c r="O141">
        <f>IFERROR(INDEX('Known Players'!$D$5:$D$500,MATCH(B141&amp;"|"&amp;C141,'Known Players'!$F$5:$F$500,0)),"")</f>
        <v/>
      </c>
      <c r="P141">
        <f>IFERROR(INDEX('Known Players'!$G$5:$G$500,MATCH(B141&amp;"|"&amp;C141,'Known Players'!$F$5:$F$500,0)),"")</f>
        <v/>
      </c>
    </row>
    <row r="142">
      <c r="A142" t="n">
        <v>46</v>
      </c>
      <c r="B142" t="inlineStr">
        <is>
          <t>Player0660</t>
        </is>
      </c>
      <c r="C142" t="inlineStr">
        <is>
          <t>ExampleWorld155</t>
        </is>
      </c>
      <c r="D142" t="inlineStr">
        <is>
          <t>Alliance</t>
        </is>
      </c>
      <c r="E142" t="n">
        <v>0</v>
      </c>
      <c r="F142" t="n">
        <v>8</v>
      </c>
      <c r="G142" t="n">
        <v>5</v>
      </c>
      <c r="H142" s="5" t="n">
        <v>43.928827</v>
      </c>
      <c r="I142" s="5" t="n">
        <v>16.805567</v>
      </c>
      <c r="M142">
        <f>COUNTIFS($B$5:$B$2000,B142,$C$5:$C$2000,C142)+COUNTIFS('PG Roster'!$B$5:$B$2000,B142,'PG Roster'!$C$5:$C$2000,C142)</f>
        <v/>
      </c>
      <c r="N142">
        <f>IFERROR(INDEX('Known Players'!$C$5:$C$500,MATCH(B142&amp;"|"&amp;C142,'Known Players'!$F$5:$F$500,0)),"")</f>
        <v/>
      </c>
      <c r="O142">
        <f>IFERROR(INDEX('Known Players'!$D$5:$D$500,MATCH(B142&amp;"|"&amp;C142,'Known Players'!$F$5:$F$500,0)),"")</f>
        <v/>
      </c>
      <c r="P142">
        <f>IFERROR(INDEX('Known Players'!$G$5:$G$500,MATCH(B142&amp;"|"&amp;C142,'Known Players'!$F$5:$F$500,0)),"")</f>
        <v/>
      </c>
    </row>
    <row r="143">
      <c r="A143" t="n">
        <v>46</v>
      </c>
      <c r="B143" t="inlineStr">
        <is>
          <t>Player0125</t>
        </is>
      </c>
      <c r="C143" t="inlineStr">
        <is>
          <t>ExampleWorld167</t>
        </is>
      </c>
      <c r="D143" t="inlineStr">
        <is>
          <t>Alliance</t>
        </is>
      </c>
      <c r="E143" t="n">
        <v>10</v>
      </c>
      <c r="F143" t="n">
        <v>8</v>
      </c>
      <c r="G143" t="n">
        <v>0</v>
      </c>
      <c r="H143" s="5" t="n">
        <v>41.188827</v>
      </c>
      <c r="I143" s="5" t="n">
        <v>13.243567</v>
      </c>
      <c r="M143">
        <f>COUNTIFS($B$5:$B$2000,B143,$C$5:$C$2000,C143)+COUNTIFS('PG Roster'!$B$5:$B$2000,B143,'PG Roster'!$C$5:$C$2000,C143)</f>
        <v/>
      </c>
      <c r="N143">
        <f>IFERROR(INDEX('Known Players'!$C$5:$C$500,MATCH(B143&amp;"|"&amp;C143,'Known Players'!$F$5:$F$500,0)),"")</f>
        <v/>
      </c>
      <c r="O143">
        <f>IFERROR(INDEX('Known Players'!$D$5:$D$500,MATCH(B143&amp;"|"&amp;C143,'Known Players'!$F$5:$F$500,0)),"")</f>
        <v/>
      </c>
      <c r="P143">
        <f>IFERROR(INDEX('Known Players'!$G$5:$G$500,MATCH(B143&amp;"|"&amp;C143,'Known Players'!$F$5:$F$500,0)),"")</f>
        <v/>
      </c>
    </row>
    <row r="144">
      <c r="A144" t="n">
        <v>46</v>
      </c>
      <c r="B144" t="inlineStr">
        <is>
          <t>Player0290</t>
        </is>
      </c>
      <c r="C144" t="inlineStr">
        <is>
          <t>ExampleWorld133</t>
        </is>
      </c>
      <c r="D144" t="inlineStr">
        <is>
          <t>Alliance</t>
        </is>
      </c>
      <c r="E144" t="n">
        <v>0</v>
      </c>
      <c r="F144" t="n">
        <v>5</v>
      </c>
      <c r="G144" t="n">
        <v>10</v>
      </c>
      <c r="H144" s="5" t="n">
        <v>49.408827</v>
      </c>
      <c r="I144" s="5" t="n">
        <v>9.681566999999999</v>
      </c>
      <c r="M144">
        <f>COUNTIFS($B$5:$B$2000,B144,$C$5:$C$2000,C144)+COUNTIFS('PG Roster'!$B$5:$B$2000,B144,'PG Roster'!$C$5:$C$2000,C144)</f>
        <v/>
      </c>
      <c r="N144">
        <f>IFERROR(INDEX('Known Players'!$C$5:$C$500,MATCH(B144&amp;"|"&amp;C144,'Known Players'!$F$5:$F$500,0)),"")</f>
        <v/>
      </c>
      <c r="O144">
        <f>IFERROR(INDEX('Known Players'!$D$5:$D$500,MATCH(B144&amp;"|"&amp;C144,'Known Players'!$F$5:$F$500,0)),"")</f>
        <v/>
      </c>
      <c r="P144">
        <f>IFERROR(INDEX('Known Players'!$G$5:$G$500,MATCH(B144&amp;"|"&amp;C144,'Known Players'!$F$5:$F$500,0)),"")</f>
        <v/>
      </c>
    </row>
    <row r="145">
      <c r="A145" t="n">
        <v>46</v>
      </c>
      <c r="B145" t="inlineStr">
        <is>
          <t>Player0539</t>
        </is>
      </c>
      <c r="C145" t="inlineStr">
        <is>
          <t>ExampleWorld120</t>
        </is>
      </c>
      <c r="D145" t="inlineStr">
        <is>
          <t>Alliance</t>
        </is>
      </c>
      <c r="E145" t="n">
        <v>4</v>
      </c>
      <c r="F145" t="n">
        <v>0</v>
      </c>
      <c r="G145" t="n">
        <v>7</v>
      </c>
      <c r="H145" s="5" t="n">
        <v>41.188827</v>
      </c>
      <c r="I145" s="5" t="n">
        <v>7.763567</v>
      </c>
      <c r="M145">
        <f>COUNTIFS($B$5:$B$2000,B145,$C$5:$C$2000,C145)+COUNTIFS('PG Roster'!$B$5:$B$2000,B145,'PG Roster'!$C$5:$C$2000,C145)</f>
        <v/>
      </c>
      <c r="N145">
        <f>IFERROR(INDEX('Known Players'!$C$5:$C$500,MATCH(B145&amp;"|"&amp;C145,'Known Players'!$F$5:$F$500,0)),"")</f>
        <v/>
      </c>
      <c r="O145">
        <f>IFERROR(INDEX('Known Players'!$D$5:$D$500,MATCH(B145&amp;"|"&amp;C145,'Known Players'!$F$5:$F$500,0)),"")</f>
        <v/>
      </c>
      <c r="P145">
        <f>IFERROR(INDEX('Known Players'!$G$5:$G$500,MATCH(B145&amp;"|"&amp;C145,'Known Players'!$F$5:$F$500,0)),"")</f>
        <v/>
      </c>
    </row>
    <row r="146">
      <c r="A146" t="n">
        <v>46</v>
      </c>
      <c r="B146" t="inlineStr">
        <is>
          <t>Player0658</t>
        </is>
      </c>
      <c r="C146" t="inlineStr">
        <is>
          <t>ExampleWorld065</t>
        </is>
      </c>
      <c r="D146" t="inlineStr">
        <is>
          <t>Alliance</t>
        </is>
      </c>
      <c r="E146" t="n">
        <v>0</v>
      </c>
      <c r="F146" t="n">
        <v>2</v>
      </c>
      <c r="G146" t="n">
        <v>6</v>
      </c>
      <c r="H146" s="5" t="n">
        <v>17.624827</v>
      </c>
      <c r="I146" s="5" t="n">
        <v>7.763567</v>
      </c>
      <c r="M146">
        <f>COUNTIFS($B$5:$B$2000,B146,$C$5:$C$2000,C146)+COUNTIFS('PG Roster'!$B$5:$B$2000,B146,'PG Roster'!$C$5:$C$2000,C146)</f>
        <v/>
      </c>
      <c r="N146">
        <f>IFERROR(INDEX('Known Players'!$C$5:$C$500,MATCH(B146&amp;"|"&amp;C146,'Known Players'!$F$5:$F$500,0)),"")</f>
        <v/>
      </c>
      <c r="O146">
        <f>IFERROR(INDEX('Known Players'!$D$5:$D$500,MATCH(B146&amp;"|"&amp;C146,'Known Players'!$F$5:$F$500,0)),"")</f>
        <v/>
      </c>
      <c r="P146">
        <f>IFERROR(INDEX('Known Players'!$G$5:$G$500,MATCH(B146&amp;"|"&amp;C146,'Known Players'!$F$5:$F$500,0)),"")</f>
        <v/>
      </c>
    </row>
    <row r="147">
      <c r="A147" t="n">
        <v>46</v>
      </c>
      <c r="B147" t="inlineStr">
        <is>
          <t>Player0617</t>
        </is>
      </c>
      <c r="C147" t="inlineStr">
        <is>
          <t>ExampleWorld036</t>
        </is>
      </c>
      <c r="D147" t="inlineStr">
        <is>
          <t>Alliance</t>
        </is>
      </c>
      <c r="E147" t="n">
        <v>0</v>
      </c>
      <c r="F147" t="n">
        <v>0</v>
      </c>
      <c r="G147" t="n">
        <v>0</v>
      </c>
      <c r="H147" s="5" t="n">
        <v>0</v>
      </c>
      <c r="I147" s="5" t="n">
        <v>0</v>
      </c>
      <c r="K147" t="inlineStr">
        <is>
          <t>Synthetic example</t>
        </is>
      </c>
      <c r="M147">
        <f>COUNTIFS($B$5:$B$2000,B147,$C$5:$C$2000,C147)+COUNTIFS('PG Roster'!$B$5:$B$2000,B147,'PG Roster'!$C$5:$C$2000,C147)</f>
        <v/>
      </c>
      <c r="N147">
        <f>IFERROR(INDEX('Known Players'!$C$5:$C$500,MATCH(B147&amp;"|"&amp;C147,'Known Players'!$F$5:$F$500,0)),"")</f>
        <v/>
      </c>
      <c r="O147">
        <f>IFERROR(INDEX('Known Players'!$D$5:$D$500,MATCH(B147&amp;"|"&amp;C147,'Known Players'!$F$5:$F$500,0)),"")</f>
        <v/>
      </c>
      <c r="P147">
        <f>IFERROR(INDEX('Known Players'!$G$5:$G$500,MATCH(B147&amp;"|"&amp;C147,'Known Players'!$F$5:$F$500,0)),"")</f>
        <v/>
      </c>
    </row>
    <row r="148">
      <c r="A148" t="n">
        <v>47</v>
      </c>
      <c r="B148" t="inlineStr">
        <is>
          <t>Mossweaver</t>
        </is>
      </c>
      <c r="C148" t="inlineStr">
        <is>
          <t>exampleworld001</t>
        </is>
      </c>
      <c r="D148" t="inlineStr">
        <is>
          <t>Horde</t>
        </is>
      </c>
      <c r="E148" t="n">
        <v>0</v>
      </c>
      <c r="F148" t="n">
        <v>9</v>
      </c>
      <c r="G148" t="n">
        <v>4</v>
      </c>
      <c r="H148" s="5" t="n">
        <v>2.154787</v>
      </c>
      <c r="I148" s="5" t="n">
        <v>74.893567</v>
      </c>
      <c r="M148">
        <f>COUNTIFS($B$5:$B$2000,B148,$C$5:$C$2000,C148)+COUNTIFS('PG Roster'!$B$5:$B$2000,B148,'PG Roster'!$C$5:$C$2000,C148)</f>
        <v/>
      </c>
      <c r="N148">
        <f>IFERROR(INDEX('Known Players'!$C$5:$C$500,MATCH(B148&amp;"|"&amp;C148,'Known Players'!$F$5:$F$500,0)),"")</f>
        <v/>
      </c>
      <c r="O148">
        <f>IFERROR(INDEX('Known Players'!$D$5:$D$500,MATCH(B148&amp;"|"&amp;C148,'Known Players'!$F$5:$F$500,0)),"")</f>
        <v/>
      </c>
      <c r="P148">
        <f>IFERROR(INDEX('Known Players'!$G$5:$G$500,MATCH(B148&amp;"|"&amp;C148,'Known Players'!$F$5:$F$500,0)),"")</f>
        <v/>
      </c>
    </row>
    <row r="149">
      <c r="A149" t="n">
        <v>47</v>
      </c>
      <c r="B149" t="inlineStr">
        <is>
          <t>Player0810</t>
        </is>
      </c>
      <c r="C149" t="inlineStr">
        <is>
          <t>ExampleWorld084</t>
        </is>
      </c>
      <c r="D149" t="inlineStr">
        <is>
          <t>Horde</t>
        </is>
      </c>
      <c r="E149" t="n">
        <v>10</v>
      </c>
      <c r="F149" t="n">
        <v>2</v>
      </c>
      <c r="G149" t="n">
        <v>4</v>
      </c>
      <c r="H149" s="5" t="n">
        <v>8.034827</v>
      </c>
      <c r="I149" s="5" t="n">
        <v>54.891567</v>
      </c>
      <c r="M149">
        <f>COUNTIFS($B$5:$B$2000,B149,$C$5:$C$2000,C149)+COUNTIFS('PG Roster'!$B$5:$B$2000,B149,'PG Roster'!$C$5:$C$2000,C149)</f>
        <v/>
      </c>
      <c r="N149">
        <f>IFERROR(INDEX('Known Players'!$C$5:$C$500,MATCH(B149&amp;"|"&amp;C149,'Known Players'!$F$5:$F$500,0)),"")</f>
        <v/>
      </c>
      <c r="O149">
        <f>IFERROR(INDEX('Known Players'!$D$5:$D$500,MATCH(B149&amp;"|"&amp;C149,'Known Players'!$F$5:$F$500,0)),"")</f>
        <v/>
      </c>
      <c r="P149">
        <f>IFERROR(INDEX('Known Players'!$G$5:$G$500,MATCH(B149&amp;"|"&amp;C149,'Known Players'!$F$5:$F$500,0)),"")</f>
        <v/>
      </c>
    </row>
    <row r="150">
      <c r="A150" t="n">
        <v>47</v>
      </c>
      <c r="B150" t="inlineStr">
        <is>
          <t>Player0376</t>
        </is>
      </c>
      <c r="C150" t="inlineStr">
        <is>
          <t>ExampleWorld023</t>
        </is>
      </c>
      <c r="D150" t="inlineStr">
        <is>
          <t>Horde</t>
        </is>
      </c>
      <c r="E150" t="n">
        <v>0</v>
      </c>
      <c r="F150" t="n">
        <v>3</v>
      </c>
      <c r="G150" t="n">
        <v>7</v>
      </c>
      <c r="H150" s="5" t="n">
        <v>32.968827</v>
      </c>
      <c r="I150" s="5" t="n">
        <v>14.065567</v>
      </c>
      <c r="M150">
        <f>COUNTIFS($B$5:$B$2000,B150,$C$5:$C$2000,C150)+COUNTIFS('PG Roster'!$B$5:$B$2000,B150,'PG Roster'!$C$5:$C$2000,C150)</f>
        <v/>
      </c>
      <c r="N150">
        <f>IFERROR(INDEX('Known Players'!$C$5:$C$500,MATCH(B150&amp;"|"&amp;C150,'Known Players'!$F$5:$F$500,0)),"")</f>
        <v/>
      </c>
      <c r="O150">
        <f>IFERROR(INDEX('Known Players'!$D$5:$D$500,MATCH(B150&amp;"|"&amp;C150,'Known Players'!$F$5:$F$500,0)),"")</f>
        <v/>
      </c>
      <c r="P150">
        <f>IFERROR(INDEX('Known Players'!$G$5:$G$500,MATCH(B150&amp;"|"&amp;C150,'Known Players'!$F$5:$F$500,0)),"")</f>
        <v/>
      </c>
    </row>
    <row r="151">
      <c r="A151" t="n">
        <v>47</v>
      </c>
      <c r="B151" t="inlineStr">
        <is>
          <t>Snowflare</t>
        </is>
      </c>
      <c r="C151" t="inlineStr">
        <is>
          <t>SandboxRealm</t>
        </is>
      </c>
      <c r="D151" t="inlineStr">
        <is>
          <t>Horde</t>
        </is>
      </c>
      <c r="E151" t="n">
        <v>0</v>
      </c>
      <c r="F151" t="n">
        <v>0</v>
      </c>
      <c r="G151" t="n">
        <v>10</v>
      </c>
      <c r="H151" s="5" t="n">
        <v>38.448827</v>
      </c>
      <c r="I151" s="5" t="n">
        <v>14.065567</v>
      </c>
      <c r="M151">
        <f>COUNTIFS($B$5:$B$2000,B151,$C$5:$C$2000,C151)+COUNTIFS('PG Roster'!$B$5:$B$2000,B151,'PG Roster'!$C$5:$C$2000,C151)</f>
        <v/>
      </c>
      <c r="N151">
        <f>IFERROR(INDEX('Known Players'!$C$5:$C$500,MATCH(B151&amp;"|"&amp;C151,'Known Players'!$F$5:$F$500,0)),"")</f>
        <v/>
      </c>
      <c r="O151">
        <f>IFERROR(INDEX('Known Players'!$D$5:$D$500,MATCH(B151&amp;"|"&amp;C151,'Known Players'!$F$5:$F$500,0)),"")</f>
        <v/>
      </c>
      <c r="P151">
        <f>IFERROR(INDEX('Known Players'!$G$5:$G$500,MATCH(B151&amp;"|"&amp;C151,'Known Players'!$F$5:$F$500,0)),"")</f>
        <v/>
      </c>
    </row>
    <row r="152">
      <c r="A152" t="n">
        <v>47</v>
      </c>
      <c r="B152" t="inlineStr">
        <is>
          <t>Thornpaw</t>
        </is>
      </c>
      <c r="C152" t="inlineStr">
        <is>
          <t>SandboxRealm</t>
        </is>
      </c>
      <c r="D152" t="inlineStr">
        <is>
          <t>Horde</t>
        </is>
      </c>
      <c r="E152" t="n">
        <v>10</v>
      </c>
      <c r="F152" t="n">
        <v>2</v>
      </c>
      <c r="G152" t="n">
        <v>4</v>
      </c>
      <c r="H152" s="5" t="n">
        <v>11.322827</v>
      </c>
      <c r="I152" s="5" t="n">
        <v>9.133566999999999</v>
      </c>
      <c r="J152" t="inlineStr">
        <is>
          <t>Carts captured: 1</t>
        </is>
      </c>
      <c r="M152">
        <f>COUNTIFS($B$5:$B$2000,B152,$C$5:$C$2000,C152)+COUNTIFS('PG Roster'!$B$5:$B$2000,B152,'PG Roster'!$C$5:$C$2000,C152)</f>
        <v/>
      </c>
      <c r="N152">
        <f>IFERROR(INDEX('Known Players'!$C$5:$C$500,MATCH(B152&amp;"|"&amp;C152,'Known Players'!$F$5:$F$500,0)),"")</f>
        <v/>
      </c>
      <c r="O152">
        <f>IFERROR(INDEX('Known Players'!$D$5:$D$500,MATCH(B152&amp;"|"&amp;C152,'Known Players'!$F$5:$F$500,0)),"")</f>
        <v/>
      </c>
      <c r="P152">
        <f>IFERROR(INDEX('Known Players'!$G$5:$G$500,MATCH(B152&amp;"|"&amp;C152,'Known Players'!$F$5:$F$500,0)),"")</f>
        <v/>
      </c>
    </row>
    <row r="153">
      <c r="A153" t="n">
        <v>47</v>
      </c>
      <c r="B153" t="inlineStr">
        <is>
          <t>Player0151</t>
        </is>
      </c>
      <c r="C153" t="inlineStr">
        <is>
          <t>ExampleWorld018</t>
        </is>
      </c>
      <c r="D153" t="inlineStr">
        <is>
          <t>Horde</t>
        </is>
      </c>
      <c r="E153" t="n">
        <v>0</v>
      </c>
      <c r="F153" t="n">
        <v>4</v>
      </c>
      <c r="G153" t="n">
        <v>7</v>
      </c>
      <c r="H153" s="5" t="n">
        <v>24.474827</v>
      </c>
      <c r="I153" s="5" t="n">
        <v>8.585566999999999</v>
      </c>
      <c r="M153">
        <f>COUNTIFS($B$5:$B$2000,B153,$C$5:$C$2000,C153)+COUNTIFS('PG Roster'!$B$5:$B$2000,B153,'PG Roster'!$C$5:$C$2000,C153)</f>
        <v/>
      </c>
      <c r="N153">
        <f>IFERROR(INDEX('Known Players'!$C$5:$C$500,MATCH(B153&amp;"|"&amp;C153,'Known Players'!$F$5:$F$500,0)),"")</f>
        <v/>
      </c>
      <c r="O153">
        <f>IFERROR(INDEX('Known Players'!$D$5:$D$500,MATCH(B153&amp;"|"&amp;C153,'Known Players'!$F$5:$F$500,0)),"")</f>
        <v/>
      </c>
      <c r="P153">
        <f>IFERROR(INDEX('Known Players'!$G$5:$G$500,MATCH(B153&amp;"|"&amp;C153,'Known Players'!$F$5:$F$500,0)),"")</f>
        <v/>
      </c>
    </row>
    <row r="154">
      <c r="A154" t="n">
        <v>47</v>
      </c>
      <c r="B154" t="inlineStr">
        <is>
          <t>Player0656</t>
        </is>
      </c>
      <c r="C154" t="inlineStr">
        <is>
          <t>ExampleWorld176</t>
        </is>
      </c>
      <c r="D154" t="inlineStr">
        <is>
          <t>Horde</t>
        </is>
      </c>
      <c r="E154" t="n">
        <v>2</v>
      </c>
      <c r="F154" t="n">
        <v>2</v>
      </c>
      <c r="G154" t="n">
        <v>0</v>
      </c>
      <c r="H154" s="5" t="n">
        <v>15.706827</v>
      </c>
      <c r="I154" s="5" t="n">
        <v>8.037566999999999</v>
      </c>
      <c r="M154">
        <f>COUNTIFS($B$5:$B$2000,B154,$C$5:$C$2000,C154)+COUNTIFS('PG Roster'!$B$5:$B$2000,B154,'PG Roster'!$C$5:$C$2000,C154)</f>
        <v/>
      </c>
      <c r="N154">
        <f>IFERROR(INDEX('Known Players'!$C$5:$C$500,MATCH(B154&amp;"|"&amp;C154,'Known Players'!$F$5:$F$500,0)),"")</f>
        <v/>
      </c>
      <c r="O154">
        <f>IFERROR(INDEX('Known Players'!$D$5:$D$500,MATCH(B154&amp;"|"&amp;C154,'Known Players'!$F$5:$F$500,0)),"")</f>
        <v/>
      </c>
      <c r="P154">
        <f>IFERROR(INDEX('Known Players'!$G$5:$G$500,MATCH(B154&amp;"|"&amp;C154,'Known Players'!$F$5:$F$500,0)),"")</f>
        <v/>
      </c>
    </row>
    <row r="155">
      <c r="A155" t="n">
        <v>47</v>
      </c>
      <c r="B155" t="inlineStr">
        <is>
          <t>Player0422</t>
        </is>
      </c>
      <c r="C155" t="inlineStr">
        <is>
          <t>ExampleWorld193</t>
        </is>
      </c>
      <c r="D155" t="inlineStr">
        <is>
          <t>Horde</t>
        </is>
      </c>
      <c r="E155" t="n">
        <v>4</v>
      </c>
      <c r="F155" t="n">
        <v>1</v>
      </c>
      <c r="G155" t="n">
        <v>2</v>
      </c>
      <c r="H155" s="5" t="n">
        <v>14.884827</v>
      </c>
      <c r="I155" s="5" t="n">
        <v>8.037566999999999</v>
      </c>
      <c r="M155">
        <f>COUNTIFS($B$5:$B$2000,B155,$C$5:$C$2000,C155)+COUNTIFS('PG Roster'!$B$5:$B$2000,B155,'PG Roster'!$C$5:$C$2000,C155)</f>
        <v/>
      </c>
      <c r="N155">
        <f>IFERROR(INDEX('Known Players'!$C$5:$C$500,MATCH(B155&amp;"|"&amp;C155,'Known Players'!$F$5:$F$500,0)),"")</f>
        <v/>
      </c>
      <c r="O155">
        <f>IFERROR(INDEX('Known Players'!$D$5:$D$500,MATCH(B155&amp;"|"&amp;C155,'Known Players'!$F$5:$F$500,0)),"")</f>
        <v/>
      </c>
      <c r="P155">
        <f>IFERROR(INDEX('Known Players'!$G$5:$G$500,MATCH(B155&amp;"|"&amp;C155,'Known Players'!$F$5:$F$500,0)),"")</f>
        <v/>
      </c>
    </row>
    <row r="156">
      <c r="A156" t="n">
        <v>47</v>
      </c>
      <c r="B156" t="inlineStr">
        <is>
          <t>Emberguard</t>
        </is>
      </c>
      <c r="C156" t="inlineStr">
        <is>
          <t>SandboxRealm</t>
        </is>
      </c>
      <c r="D156" t="inlineStr">
        <is>
          <t>Horde</t>
        </is>
      </c>
      <c r="E156" t="n">
        <v>10</v>
      </c>
      <c r="F156" t="n">
        <v>8</v>
      </c>
      <c r="G156" t="n">
        <v>4</v>
      </c>
      <c r="H156" s="5" t="n">
        <v>32.968827</v>
      </c>
      <c r="I156" s="5" t="n">
        <v>6.119567</v>
      </c>
      <c r="J156" t="inlineStr">
        <is>
          <t>Carts captured: 1</t>
        </is>
      </c>
      <c r="M156">
        <f>COUNTIFS($B$5:$B$2000,B156,$C$5:$C$2000,C156)+COUNTIFS('PG Roster'!$B$5:$B$2000,B156,'PG Roster'!$C$5:$C$2000,C156)</f>
        <v/>
      </c>
      <c r="N156">
        <f>IFERROR(INDEX('Known Players'!$C$5:$C$500,MATCH(B156&amp;"|"&amp;C156,'Known Players'!$F$5:$F$500,0)),"")</f>
        <v/>
      </c>
      <c r="O156">
        <f>IFERROR(INDEX('Known Players'!$D$5:$D$500,MATCH(B156&amp;"|"&amp;C156,'Known Players'!$F$5:$F$500,0)),"")</f>
        <v/>
      </c>
      <c r="P156">
        <f>IFERROR(INDEX('Known Players'!$G$5:$G$500,MATCH(B156&amp;"|"&amp;C156,'Known Players'!$F$5:$F$500,0)),"")</f>
        <v/>
      </c>
    </row>
    <row r="157">
      <c r="A157" t="n">
        <v>47</v>
      </c>
      <c r="B157" t="inlineStr">
        <is>
          <t>Player0889</t>
        </is>
      </c>
      <c r="C157" t="inlineStr">
        <is>
          <t>ExampleWorld192</t>
        </is>
      </c>
      <c r="D157" t="inlineStr">
        <is>
          <t>Horde</t>
        </is>
      </c>
      <c r="E157" t="n">
        <v>4</v>
      </c>
      <c r="F157" t="n">
        <v>6</v>
      </c>
      <c r="G157" t="n">
        <v>2</v>
      </c>
      <c r="H157" s="5" t="n">
        <v>49.408827</v>
      </c>
      <c r="I157" s="5" t="n">
        <v>6.119567</v>
      </c>
      <c r="M157">
        <f>COUNTIFS($B$5:$B$2000,B157,$C$5:$C$2000,C157)+COUNTIFS('PG Roster'!$B$5:$B$2000,B157,'PG Roster'!$C$5:$C$2000,C157)</f>
        <v/>
      </c>
      <c r="N157">
        <f>IFERROR(INDEX('Known Players'!$C$5:$C$500,MATCH(B157&amp;"|"&amp;C157,'Known Players'!$F$5:$F$500,0)),"")</f>
        <v/>
      </c>
      <c r="O157">
        <f>IFERROR(INDEX('Known Players'!$D$5:$D$500,MATCH(B157&amp;"|"&amp;C157,'Known Players'!$F$5:$F$500,0)),"")</f>
        <v/>
      </c>
      <c r="P157">
        <f>IFERROR(INDEX('Known Players'!$G$5:$G$500,MATCH(B157&amp;"|"&amp;C157,'Known Players'!$F$5:$F$500,0)),"")</f>
        <v/>
      </c>
    </row>
    <row r="158">
      <c r="A158" t="n">
        <v>47</v>
      </c>
      <c r="B158" t="inlineStr">
        <is>
          <t>Player0095</t>
        </is>
      </c>
      <c r="C158" t="inlineStr">
        <is>
          <t>ExampleWorld059</t>
        </is>
      </c>
      <c r="D158" t="inlineStr">
        <is>
          <t>Horde</t>
        </is>
      </c>
      <c r="E158" t="n">
        <v>0</v>
      </c>
      <c r="F158" t="n">
        <v>5</v>
      </c>
      <c r="G158" t="n">
        <v>10</v>
      </c>
      <c r="H158" s="5" t="n">
        <v>32.968827</v>
      </c>
      <c r="I158" s="5" t="n">
        <v>5.845567</v>
      </c>
      <c r="M158">
        <f>COUNTIFS($B$5:$B$2000,B158,$C$5:$C$2000,C158)+COUNTIFS('PG Roster'!$B$5:$B$2000,B158,'PG Roster'!$C$5:$C$2000,C158)</f>
        <v/>
      </c>
      <c r="N158">
        <f>IFERROR(INDEX('Known Players'!$C$5:$C$500,MATCH(B158&amp;"|"&amp;C158,'Known Players'!$F$5:$F$500,0)),"")</f>
        <v/>
      </c>
      <c r="O158">
        <f>IFERROR(INDEX('Known Players'!$D$5:$D$500,MATCH(B158&amp;"|"&amp;C158,'Known Players'!$F$5:$F$500,0)),"")</f>
        <v/>
      </c>
      <c r="P158">
        <f>IFERROR(INDEX('Known Players'!$G$5:$G$500,MATCH(B158&amp;"|"&amp;C158,'Known Players'!$F$5:$F$500,0)),"")</f>
        <v/>
      </c>
    </row>
    <row r="159">
      <c r="A159" t="n">
        <v>47</v>
      </c>
      <c r="B159" t="inlineStr">
        <is>
          <t>Player0687</t>
        </is>
      </c>
      <c r="C159" t="inlineStr">
        <is>
          <t>PracticeRealm</t>
        </is>
      </c>
      <c r="D159" t="inlineStr">
        <is>
          <t>Horde</t>
        </is>
      </c>
      <c r="E159" t="n">
        <v>4</v>
      </c>
      <c r="F159" t="n">
        <v>10</v>
      </c>
      <c r="G159" t="n">
        <v>7</v>
      </c>
      <c r="H159" s="5" t="n">
        <v>20.090827</v>
      </c>
      <c r="I159" s="5" t="n">
        <v>5.023567</v>
      </c>
      <c r="M159">
        <f>COUNTIFS($B$5:$B$2000,B159,$C$5:$C$2000,C159)+COUNTIFS('PG Roster'!$B$5:$B$2000,B159,'PG Roster'!$C$5:$C$2000,C159)</f>
        <v/>
      </c>
      <c r="N159">
        <f>IFERROR(INDEX('Known Players'!$C$5:$C$500,MATCH(B159&amp;"|"&amp;C159,'Known Players'!$F$5:$F$500,0)),"")</f>
        <v/>
      </c>
      <c r="O159">
        <f>IFERROR(INDEX('Known Players'!$D$5:$D$500,MATCH(B159&amp;"|"&amp;C159,'Known Players'!$F$5:$F$500,0)),"")</f>
        <v/>
      </c>
      <c r="P159">
        <f>IFERROR(INDEX('Known Players'!$G$5:$G$500,MATCH(B159&amp;"|"&amp;C159,'Known Players'!$F$5:$F$500,0)),"")</f>
        <v/>
      </c>
    </row>
    <row r="160">
      <c r="A160" t="n">
        <v>47</v>
      </c>
      <c r="B160" t="inlineStr">
        <is>
          <t>Player0637</t>
        </is>
      </c>
      <c r="C160" t="inlineStr">
        <is>
          <t>ExampleWorld119</t>
        </is>
      </c>
      <c r="D160" t="inlineStr">
        <is>
          <t>Horde</t>
        </is>
      </c>
      <c r="E160" t="n">
        <v>0</v>
      </c>
      <c r="F160" t="n">
        <v>7</v>
      </c>
      <c r="G160" t="n">
        <v>10</v>
      </c>
      <c r="H160" s="5" t="n">
        <v>11.596827</v>
      </c>
      <c r="I160" s="5" t="n">
        <v>0.814927</v>
      </c>
      <c r="M160">
        <f>COUNTIFS($B$5:$B$2000,B160,$C$5:$C$2000,C160)+COUNTIFS('PG Roster'!$B$5:$B$2000,B160,'PG Roster'!$C$5:$C$2000,C160)</f>
        <v/>
      </c>
      <c r="N160">
        <f>IFERROR(INDEX('Known Players'!$C$5:$C$500,MATCH(B160&amp;"|"&amp;C160,'Known Players'!$F$5:$F$500,0)),"")</f>
        <v/>
      </c>
      <c r="O160">
        <f>IFERROR(INDEX('Known Players'!$D$5:$D$500,MATCH(B160&amp;"|"&amp;C160,'Known Players'!$F$5:$F$500,0)),"")</f>
        <v/>
      </c>
      <c r="P160">
        <f>IFERROR(INDEX('Known Players'!$G$5:$G$500,MATCH(B160&amp;"|"&amp;C160,'Known Players'!$F$5:$F$500,0)),"")</f>
        <v/>
      </c>
    </row>
    <row r="161">
      <c r="A161" t="n">
        <v>47</v>
      </c>
      <c r="B161" t="inlineStr">
        <is>
          <t>Player0463</t>
        </is>
      </c>
      <c r="C161" t="inlineStr">
        <is>
          <t>ExampleWorld017</t>
        </is>
      </c>
      <c r="D161" t="inlineStr">
        <is>
          <t>Alliance</t>
        </is>
      </c>
      <c r="E161" t="n">
        <v>0</v>
      </c>
      <c r="F161" t="n">
        <v>3</v>
      </c>
      <c r="G161" t="n">
        <v>10</v>
      </c>
      <c r="H161" s="5" t="n">
        <v>6.116827</v>
      </c>
      <c r="I161" s="5" t="n">
        <v>68.591567</v>
      </c>
      <c r="M161">
        <f>COUNTIFS($B$5:$B$2000,B161,$C$5:$C$2000,C161)+COUNTIFS('PG Roster'!$B$5:$B$2000,B161,'PG Roster'!$C$5:$C$2000,C161)</f>
        <v/>
      </c>
      <c r="N161">
        <f>IFERROR(INDEX('Known Players'!$C$5:$C$500,MATCH(B161&amp;"|"&amp;C161,'Known Players'!$F$5:$F$500,0)),"")</f>
        <v/>
      </c>
      <c r="O161">
        <f>IFERROR(INDEX('Known Players'!$D$5:$D$500,MATCH(B161&amp;"|"&amp;C161,'Known Players'!$F$5:$F$500,0)),"")</f>
        <v/>
      </c>
      <c r="P161">
        <f>IFERROR(INDEX('Known Players'!$G$5:$G$500,MATCH(B161&amp;"|"&amp;C161,'Known Players'!$F$5:$F$500,0)),"")</f>
        <v/>
      </c>
    </row>
    <row r="162">
      <c r="A162" t="n">
        <v>47</v>
      </c>
      <c r="B162" t="inlineStr">
        <is>
          <t>Player0034</t>
        </is>
      </c>
      <c r="C162" t="inlineStr">
        <is>
          <t>ExampleWorld028</t>
        </is>
      </c>
      <c r="D162" t="inlineStr">
        <is>
          <t>Alliance</t>
        </is>
      </c>
      <c r="E162" t="n">
        <v>0</v>
      </c>
      <c r="F162" t="n">
        <v>6</v>
      </c>
      <c r="G162" t="n">
        <v>0</v>
      </c>
      <c r="H162" s="5" t="n">
        <v>8.308827000000001</v>
      </c>
      <c r="I162" s="5" t="n">
        <v>57.631567</v>
      </c>
      <c r="J162" t="inlineStr">
        <is>
          <t>Carts captured: 3</t>
        </is>
      </c>
      <c r="M162">
        <f>COUNTIFS($B$5:$B$2000,B162,$C$5:$C$2000,C162)+COUNTIFS('PG Roster'!$B$5:$B$2000,B162,'PG Roster'!$C$5:$C$2000,C162)</f>
        <v/>
      </c>
      <c r="N162">
        <f>IFERROR(INDEX('Known Players'!$C$5:$C$500,MATCH(B162&amp;"|"&amp;C162,'Known Players'!$F$5:$F$500,0)),"")</f>
        <v/>
      </c>
      <c r="O162">
        <f>IFERROR(INDEX('Known Players'!$D$5:$D$500,MATCH(B162&amp;"|"&amp;C162,'Known Players'!$F$5:$F$500,0)),"")</f>
        <v/>
      </c>
      <c r="P162">
        <f>IFERROR(INDEX('Known Players'!$G$5:$G$500,MATCH(B162&amp;"|"&amp;C162,'Known Players'!$F$5:$F$500,0)),"")</f>
        <v/>
      </c>
    </row>
    <row r="163">
      <c r="A163" t="n">
        <v>47</v>
      </c>
      <c r="B163" t="inlineStr">
        <is>
          <t>Player0465</t>
        </is>
      </c>
      <c r="C163" t="inlineStr">
        <is>
          <t>ExampleWorld164</t>
        </is>
      </c>
      <c r="D163" t="inlineStr">
        <is>
          <t>Alliance</t>
        </is>
      </c>
      <c r="E163" t="n">
        <v>7</v>
      </c>
      <c r="F163" t="n">
        <v>9</v>
      </c>
      <c r="G163" t="n">
        <v>0</v>
      </c>
      <c r="H163" s="5" t="n">
        <v>8.582827</v>
      </c>
      <c r="I163" s="5" t="n">
        <v>35.711567</v>
      </c>
      <c r="J163" t="inlineStr">
        <is>
          <t>Carts captured: 1</t>
        </is>
      </c>
      <c r="M163">
        <f>COUNTIFS($B$5:$B$2000,B163,$C$5:$C$2000,C163)+COUNTIFS('PG Roster'!$B$5:$B$2000,B163,'PG Roster'!$C$5:$C$2000,C163)</f>
        <v/>
      </c>
      <c r="N163">
        <f>IFERROR(INDEX('Known Players'!$C$5:$C$500,MATCH(B163&amp;"|"&amp;C163,'Known Players'!$F$5:$F$500,0)),"")</f>
        <v/>
      </c>
      <c r="O163">
        <f>IFERROR(INDEX('Known Players'!$D$5:$D$500,MATCH(B163&amp;"|"&amp;C163,'Known Players'!$F$5:$F$500,0)),"")</f>
        <v/>
      </c>
      <c r="P163">
        <f>IFERROR(INDEX('Known Players'!$G$5:$G$500,MATCH(B163&amp;"|"&amp;C163,'Known Players'!$F$5:$F$500,0)),"")</f>
        <v/>
      </c>
    </row>
    <row r="164">
      <c r="A164" t="n">
        <v>47</v>
      </c>
      <c r="B164" t="inlineStr">
        <is>
          <t>Player0467</t>
        </is>
      </c>
      <c r="C164" t="inlineStr">
        <is>
          <t>ExampleWorld084</t>
        </is>
      </c>
      <c r="D164" t="inlineStr">
        <is>
          <t>Alliance</t>
        </is>
      </c>
      <c r="E164" t="n">
        <v>6</v>
      </c>
      <c r="F164" t="n">
        <v>6</v>
      </c>
      <c r="G164" t="n">
        <v>4</v>
      </c>
      <c r="H164" s="5" t="n">
        <v>60.368827</v>
      </c>
      <c r="I164" s="5" t="n">
        <v>19.271567</v>
      </c>
      <c r="M164">
        <f>COUNTIFS($B$5:$B$2000,B164,$C$5:$C$2000,C164)+COUNTIFS('PG Roster'!$B$5:$B$2000,B164,'PG Roster'!$C$5:$C$2000,C164)</f>
        <v/>
      </c>
      <c r="N164">
        <f>IFERROR(INDEX('Known Players'!$C$5:$C$500,MATCH(B164&amp;"|"&amp;C164,'Known Players'!$F$5:$F$500,0)),"")</f>
        <v/>
      </c>
      <c r="O164">
        <f>IFERROR(INDEX('Known Players'!$D$5:$D$500,MATCH(B164&amp;"|"&amp;C164,'Known Players'!$F$5:$F$500,0)),"")</f>
        <v/>
      </c>
      <c r="P164">
        <f>IFERROR(INDEX('Known Players'!$G$5:$G$500,MATCH(B164&amp;"|"&amp;C164,'Known Players'!$F$5:$F$500,0)),"")</f>
        <v/>
      </c>
    </row>
    <row r="165">
      <c r="A165" t="n">
        <v>47</v>
      </c>
      <c r="B165" t="inlineStr">
        <is>
          <t>Player0575</t>
        </is>
      </c>
      <c r="C165" t="inlineStr">
        <is>
          <t>ExampleWorld020</t>
        </is>
      </c>
      <c r="D165" t="inlineStr">
        <is>
          <t>Alliance</t>
        </is>
      </c>
      <c r="E165" t="n">
        <v>4</v>
      </c>
      <c r="F165" t="n">
        <v>10</v>
      </c>
      <c r="G165" t="n">
        <v>4</v>
      </c>
      <c r="H165" s="5" t="n">
        <v>18.994827</v>
      </c>
      <c r="I165" s="5" t="n">
        <v>11.599567</v>
      </c>
      <c r="J165" t="inlineStr">
        <is>
          <t>Carts captured: 1</t>
        </is>
      </c>
      <c r="M165">
        <f>COUNTIFS($B$5:$B$2000,B165,$C$5:$C$2000,C165)+COUNTIFS('PG Roster'!$B$5:$B$2000,B165,'PG Roster'!$C$5:$C$2000,C165)</f>
        <v/>
      </c>
      <c r="N165">
        <f>IFERROR(INDEX('Known Players'!$C$5:$C$500,MATCH(B165&amp;"|"&amp;C165,'Known Players'!$F$5:$F$500,0)),"")</f>
        <v/>
      </c>
      <c r="O165">
        <f>IFERROR(INDEX('Known Players'!$D$5:$D$500,MATCH(B165&amp;"|"&amp;C165,'Known Players'!$F$5:$F$500,0)),"")</f>
        <v/>
      </c>
      <c r="P165">
        <f>IFERROR(INDEX('Known Players'!$G$5:$G$500,MATCH(B165&amp;"|"&amp;C165,'Known Players'!$F$5:$F$500,0)),"")</f>
        <v/>
      </c>
    </row>
    <row r="166">
      <c r="A166" t="n">
        <v>47</v>
      </c>
      <c r="B166" t="inlineStr">
        <is>
          <t>Player0499</t>
        </is>
      </c>
      <c r="C166" t="inlineStr">
        <is>
          <t>ExampleWorld192</t>
        </is>
      </c>
      <c r="D166" t="inlineStr">
        <is>
          <t>Alliance</t>
        </is>
      </c>
      <c r="E166" t="n">
        <v>4</v>
      </c>
      <c r="F166" t="n">
        <v>9</v>
      </c>
      <c r="G166" t="n">
        <v>7</v>
      </c>
      <c r="H166" s="5" t="n">
        <v>27.488827</v>
      </c>
      <c r="I166" s="5" t="n">
        <v>11.051567</v>
      </c>
      <c r="J166" t="inlineStr">
        <is>
          <t>Carts captured: 1</t>
        </is>
      </c>
      <c r="M166">
        <f>COUNTIFS($B$5:$B$2000,B166,$C$5:$C$2000,C166)+COUNTIFS('PG Roster'!$B$5:$B$2000,B166,'PG Roster'!$C$5:$C$2000,C166)</f>
        <v/>
      </c>
      <c r="N166">
        <f>IFERROR(INDEX('Known Players'!$C$5:$C$500,MATCH(B166&amp;"|"&amp;C166,'Known Players'!$F$5:$F$500,0)),"")</f>
        <v/>
      </c>
      <c r="O166">
        <f>IFERROR(INDEX('Known Players'!$D$5:$D$500,MATCH(B166&amp;"|"&amp;C166,'Known Players'!$F$5:$F$500,0)),"")</f>
        <v/>
      </c>
      <c r="P166">
        <f>IFERROR(INDEX('Known Players'!$G$5:$G$500,MATCH(B166&amp;"|"&amp;C166,'Known Players'!$F$5:$F$500,0)),"")</f>
        <v/>
      </c>
    </row>
    <row r="167">
      <c r="A167" t="n">
        <v>47</v>
      </c>
      <c r="B167" t="inlineStr">
        <is>
          <t>Player0846</t>
        </is>
      </c>
      <c r="C167" t="inlineStr">
        <is>
          <t>ExampleWorld054</t>
        </is>
      </c>
      <c r="D167" t="inlineStr">
        <is>
          <t>Alliance</t>
        </is>
      </c>
      <c r="E167" t="n">
        <v>0</v>
      </c>
      <c r="F167" t="n">
        <v>6</v>
      </c>
      <c r="G167" t="n">
        <v>2</v>
      </c>
      <c r="H167" s="5" t="n">
        <v>16.802827</v>
      </c>
      <c r="I167" s="5" t="n">
        <v>10.503567</v>
      </c>
      <c r="J167" t="inlineStr">
        <is>
          <t>Carts captured: 1</t>
        </is>
      </c>
      <c r="M167">
        <f>COUNTIFS($B$5:$B$2000,B167,$C$5:$C$2000,C167)+COUNTIFS('PG Roster'!$B$5:$B$2000,B167,'PG Roster'!$C$5:$C$2000,C167)</f>
        <v/>
      </c>
      <c r="N167">
        <f>IFERROR(INDEX('Known Players'!$C$5:$C$500,MATCH(B167&amp;"|"&amp;C167,'Known Players'!$F$5:$F$500,0)),"")</f>
        <v/>
      </c>
      <c r="O167">
        <f>IFERROR(INDEX('Known Players'!$D$5:$D$500,MATCH(B167&amp;"|"&amp;C167,'Known Players'!$F$5:$F$500,0)),"")</f>
        <v/>
      </c>
      <c r="P167">
        <f>IFERROR(INDEX('Known Players'!$G$5:$G$500,MATCH(B167&amp;"|"&amp;C167,'Known Players'!$F$5:$F$500,0)),"")</f>
        <v/>
      </c>
    </row>
    <row r="168">
      <c r="A168" t="n">
        <v>47</v>
      </c>
      <c r="B168" t="inlineStr">
        <is>
          <t>Player0526</t>
        </is>
      </c>
      <c r="C168" t="inlineStr">
        <is>
          <t>ExampleWorld021</t>
        </is>
      </c>
      <c r="D168" t="inlineStr">
        <is>
          <t>Alliance</t>
        </is>
      </c>
      <c r="E168" t="n">
        <v>0</v>
      </c>
      <c r="F168" t="n">
        <v>8</v>
      </c>
      <c r="G168" t="n">
        <v>4</v>
      </c>
      <c r="H168" s="5" t="n">
        <v>24.474827</v>
      </c>
      <c r="I168" s="5" t="n">
        <v>6.393567</v>
      </c>
      <c r="M168">
        <f>COUNTIFS($B$5:$B$2000,B168,$C$5:$C$2000,C168)+COUNTIFS('PG Roster'!$B$5:$B$2000,B168,'PG Roster'!$C$5:$C$2000,C168)</f>
        <v/>
      </c>
      <c r="N168">
        <f>IFERROR(INDEX('Known Players'!$C$5:$C$500,MATCH(B168&amp;"|"&amp;C168,'Known Players'!$F$5:$F$500,0)),"")</f>
        <v/>
      </c>
      <c r="O168">
        <f>IFERROR(INDEX('Known Players'!$D$5:$D$500,MATCH(B168&amp;"|"&amp;C168,'Known Players'!$F$5:$F$500,0)),"")</f>
        <v/>
      </c>
      <c r="P168">
        <f>IFERROR(INDEX('Known Players'!$G$5:$G$500,MATCH(B168&amp;"|"&amp;C168,'Known Players'!$F$5:$F$500,0)),"")</f>
        <v/>
      </c>
    </row>
    <row r="169">
      <c r="A169" t="n">
        <v>47</v>
      </c>
      <c r="B169" t="inlineStr">
        <is>
          <t>Player0768</t>
        </is>
      </c>
      <c r="C169" t="inlineStr">
        <is>
          <t>ExampleWorld150</t>
        </is>
      </c>
      <c r="D169" t="inlineStr">
        <is>
          <t>Alliance</t>
        </is>
      </c>
      <c r="E169" t="n">
        <v>8</v>
      </c>
      <c r="F169" t="n">
        <v>0</v>
      </c>
      <c r="G169" t="n">
        <v>7</v>
      </c>
      <c r="H169" s="5" t="n">
        <v>65.848827</v>
      </c>
      <c r="I169" s="5" t="n">
        <v>6.119567</v>
      </c>
      <c r="M169">
        <f>COUNTIFS($B$5:$B$2000,B169,$C$5:$C$2000,C169)+COUNTIFS('PG Roster'!$B$5:$B$2000,B169,'PG Roster'!$C$5:$C$2000,C169)</f>
        <v/>
      </c>
      <c r="N169">
        <f>IFERROR(INDEX('Known Players'!$C$5:$C$500,MATCH(B169&amp;"|"&amp;C169,'Known Players'!$F$5:$F$500,0)),"")</f>
        <v/>
      </c>
      <c r="O169">
        <f>IFERROR(INDEX('Known Players'!$D$5:$D$500,MATCH(B169&amp;"|"&amp;C169,'Known Players'!$F$5:$F$500,0)),"")</f>
        <v/>
      </c>
      <c r="P169">
        <f>IFERROR(INDEX('Known Players'!$G$5:$G$500,MATCH(B169&amp;"|"&amp;C169,'Known Players'!$F$5:$F$500,0)),"")</f>
        <v/>
      </c>
    </row>
    <row r="170">
      <c r="A170" t="n">
        <v>47</v>
      </c>
      <c r="B170" t="inlineStr">
        <is>
          <t>Player0290</t>
        </is>
      </c>
      <c r="C170" t="inlineStr">
        <is>
          <t>ExampleWorld133</t>
        </is>
      </c>
      <c r="D170" t="inlineStr">
        <is>
          <t>Alliance</t>
        </is>
      </c>
      <c r="E170" t="n">
        <v>7</v>
      </c>
      <c r="F170" t="n">
        <v>8</v>
      </c>
      <c r="G170" t="n">
        <v>10</v>
      </c>
      <c r="H170" s="5" t="n">
        <v>32.968827</v>
      </c>
      <c r="I170" s="5" t="n">
        <v>5.023567</v>
      </c>
      <c r="M170">
        <f>COUNTIFS($B$5:$B$2000,B170,$C$5:$C$2000,C170)+COUNTIFS('PG Roster'!$B$5:$B$2000,B170,'PG Roster'!$C$5:$C$2000,C170)</f>
        <v/>
      </c>
      <c r="N170">
        <f>IFERROR(INDEX('Known Players'!$C$5:$C$500,MATCH(B170&amp;"|"&amp;C170,'Known Players'!$F$5:$F$500,0)),"")</f>
        <v/>
      </c>
      <c r="O170">
        <f>IFERROR(INDEX('Known Players'!$D$5:$D$500,MATCH(B170&amp;"|"&amp;C170,'Known Players'!$F$5:$F$500,0)),"")</f>
        <v/>
      </c>
      <c r="P170">
        <f>IFERROR(INDEX('Known Players'!$G$5:$G$500,MATCH(B170&amp;"|"&amp;C170,'Known Players'!$F$5:$F$500,0)),"")</f>
        <v/>
      </c>
    </row>
    <row r="171">
      <c r="A171" t="n">
        <v>47</v>
      </c>
      <c r="B171" t="inlineStr">
        <is>
          <t>Player0341</t>
        </is>
      </c>
      <c r="C171" t="inlineStr">
        <is>
          <t>ExampleWorld042</t>
        </is>
      </c>
      <c r="D171" t="inlineStr">
        <is>
          <t>Alliance</t>
        </is>
      </c>
      <c r="E171" t="n">
        <v>7</v>
      </c>
      <c r="F171" t="n">
        <v>7</v>
      </c>
      <c r="G171" t="n">
        <v>4</v>
      </c>
      <c r="H171" s="5" t="n">
        <v>6.390827</v>
      </c>
      <c r="I171" s="5" t="n">
        <v>4.475567</v>
      </c>
      <c r="J171" t="inlineStr">
        <is>
          <t>Carts captured: 2</t>
        </is>
      </c>
      <c r="M171">
        <f>COUNTIFS($B$5:$B$2000,B171,$C$5:$C$2000,C171)+COUNTIFS('PG Roster'!$B$5:$B$2000,B171,'PG Roster'!$C$5:$C$2000,C171)</f>
        <v/>
      </c>
      <c r="N171">
        <f>IFERROR(INDEX('Known Players'!$C$5:$C$500,MATCH(B171&amp;"|"&amp;C171,'Known Players'!$F$5:$F$500,0)),"")</f>
        <v/>
      </c>
      <c r="O171">
        <f>IFERROR(INDEX('Known Players'!$D$5:$D$500,MATCH(B171&amp;"|"&amp;C171,'Known Players'!$F$5:$F$500,0)),"")</f>
        <v/>
      </c>
      <c r="P171">
        <f>IFERROR(INDEX('Known Players'!$G$5:$G$500,MATCH(B171&amp;"|"&amp;C171,'Known Players'!$F$5:$F$500,0)),"")</f>
        <v/>
      </c>
    </row>
    <row r="172">
      <c r="A172" t="n">
        <v>47</v>
      </c>
      <c r="B172" t="inlineStr">
        <is>
          <t>Player0229</t>
        </is>
      </c>
      <c r="C172" t="inlineStr">
        <is>
          <t>ExampleWorld126</t>
        </is>
      </c>
      <c r="D172" t="inlineStr">
        <is>
          <t>Alliance</t>
        </is>
      </c>
      <c r="E172" t="n">
        <v>7</v>
      </c>
      <c r="F172" t="n">
        <v>5</v>
      </c>
      <c r="G172" t="n">
        <v>0</v>
      </c>
      <c r="H172" s="5" t="n">
        <v>18.994827</v>
      </c>
      <c r="I172" s="5" t="n">
        <v>4.201567</v>
      </c>
      <c r="M172">
        <f>COUNTIFS($B$5:$B$2000,B172,$C$5:$C$2000,C172)+COUNTIFS('PG Roster'!$B$5:$B$2000,B172,'PG Roster'!$C$5:$C$2000,C172)</f>
        <v/>
      </c>
      <c r="N172">
        <f>IFERROR(INDEX('Known Players'!$C$5:$C$500,MATCH(B172&amp;"|"&amp;C172,'Known Players'!$F$5:$F$500,0)),"")</f>
        <v/>
      </c>
      <c r="O172">
        <f>IFERROR(INDEX('Known Players'!$D$5:$D$500,MATCH(B172&amp;"|"&amp;C172,'Known Players'!$F$5:$F$500,0)),"")</f>
        <v/>
      </c>
      <c r="P172">
        <f>IFERROR(INDEX('Known Players'!$G$5:$G$500,MATCH(B172&amp;"|"&amp;C172,'Known Players'!$F$5:$F$500,0)),"")</f>
        <v/>
      </c>
    </row>
    <row r="173">
      <c r="A173" t="n">
        <v>47</v>
      </c>
      <c r="B173" t="inlineStr">
        <is>
          <t>Player0760</t>
        </is>
      </c>
      <c r="C173" t="inlineStr">
        <is>
          <t>ExampleWorld017</t>
        </is>
      </c>
      <c r="D173" t="inlineStr">
        <is>
          <t>Alliance</t>
        </is>
      </c>
      <c r="E173" t="n">
        <v>4</v>
      </c>
      <c r="F173" t="n">
        <v>7</v>
      </c>
      <c r="G173" t="n">
        <v>2</v>
      </c>
      <c r="H173" s="5" t="n">
        <v>26.666827</v>
      </c>
      <c r="I173" s="5" t="n">
        <v>2.831567</v>
      </c>
      <c r="M173">
        <f>COUNTIFS($B$5:$B$2000,B173,$C$5:$C$2000,C173)+COUNTIFS('PG Roster'!$B$5:$B$2000,B173,'PG Roster'!$C$5:$C$2000,C173)</f>
        <v/>
      </c>
      <c r="N173">
        <f>IFERROR(INDEX('Known Players'!$C$5:$C$500,MATCH(B173&amp;"|"&amp;C173,'Known Players'!$F$5:$F$500,0)),"")</f>
        <v/>
      </c>
      <c r="O173">
        <f>IFERROR(INDEX('Known Players'!$D$5:$D$500,MATCH(B173&amp;"|"&amp;C173,'Known Players'!$F$5:$F$500,0)),"")</f>
        <v/>
      </c>
      <c r="P173">
        <f>IFERROR(INDEX('Known Players'!$G$5:$G$500,MATCH(B173&amp;"|"&amp;C173,'Known Players'!$F$5:$F$500,0)),"")</f>
        <v/>
      </c>
    </row>
    <row r="174">
      <c r="A174" t="n">
        <v>47</v>
      </c>
      <c r="B174" t="inlineStr">
        <is>
          <t>Player0867</t>
        </is>
      </c>
      <c r="C174" t="inlineStr">
        <is>
          <t>ExampleWorld164</t>
        </is>
      </c>
      <c r="D174" t="inlineStr">
        <is>
          <t>Alliance</t>
        </is>
      </c>
      <c r="E174" t="n">
        <v>2</v>
      </c>
      <c r="F174" t="n">
        <v>4</v>
      </c>
      <c r="G174" t="n">
        <v>4</v>
      </c>
      <c r="H174" s="5" t="n">
        <v>26.940827</v>
      </c>
      <c r="I174" s="5" t="n">
        <v>1.645147</v>
      </c>
      <c r="M174">
        <f>COUNTIFS($B$5:$B$2000,B174,$C$5:$C$2000,C174)+COUNTIFS('PG Roster'!$B$5:$B$2000,B174,'PG Roster'!$C$5:$C$2000,C174)</f>
        <v/>
      </c>
      <c r="N174">
        <f>IFERROR(INDEX('Known Players'!$C$5:$C$500,MATCH(B174&amp;"|"&amp;C174,'Known Players'!$F$5:$F$500,0)),"")</f>
        <v/>
      </c>
      <c r="O174">
        <f>IFERROR(INDEX('Known Players'!$D$5:$D$500,MATCH(B174&amp;"|"&amp;C174,'Known Players'!$F$5:$F$500,0)),"")</f>
        <v/>
      </c>
      <c r="P174">
        <f>IFERROR(INDEX('Known Players'!$G$5:$G$500,MATCH(B174&amp;"|"&amp;C174,'Known Players'!$F$5:$F$500,0)),"")</f>
        <v/>
      </c>
    </row>
    <row r="175">
      <c r="A175" t="n">
        <v>47</v>
      </c>
      <c r="B175" t="inlineStr">
        <is>
          <t>Player0170</t>
        </is>
      </c>
      <c r="C175" t="inlineStr">
        <is>
          <t>ExampleWorld133</t>
        </is>
      </c>
      <c r="D175" t="inlineStr">
        <is>
          <t>Alliance</t>
        </is>
      </c>
      <c r="E175" t="n">
        <v>0</v>
      </c>
      <c r="F175" t="n">
        <v>3</v>
      </c>
      <c r="G175" t="n">
        <v>4</v>
      </c>
      <c r="H175" s="5" t="n">
        <v>13.240827</v>
      </c>
      <c r="I175" s="5" t="n">
        <v>0.181987</v>
      </c>
      <c r="M175">
        <f>COUNTIFS($B$5:$B$2000,B175,$C$5:$C$2000,C175)+COUNTIFS('PG Roster'!$B$5:$B$2000,B175,'PG Roster'!$C$5:$C$2000,C175)</f>
        <v/>
      </c>
      <c r="N175">
        <f>IFERROR(INDEX('Known Players'!$C$5:$C$500,MATCH(B175&amp;"|"&amp;C175,'Known Players'!$F$5:$F$500,0)),"")</f>
        <v/>
      </c>
      <c r="O175">
        <f>IFERROR(INDEX('Known Players'!$D$5:$D$500,MATCH(B175&amp;"|"&amp;C175,'Known Players'!$F$5:$F$500,0)),"")</f>
        <v/>
      </c>
      <c r="P175">
        <f>IFERROR(INDEX('Known Players'!$G$5:$G$500,MATCH(B175&amp;"|"&amp;C175,'Known Players'!$F$5:$F$500,0)),"")</f>
        <v/>
      </c>
    </row>
    <row r="176">
      <c r="A176" t="n">
        <v>48</v>
      </c>
      <c r="B176" t="inlineStr">
        <is>
          <t>Player0035</t>
        </is>
      </c>
      <c r="C176" t="inlineStr">
        <is>
          <t>ExampleWorld196</t>
        </is>
      </c>
      <c r="D176" t="inlineStr">
        <is>
          <t>Horde</t>
        </is>
      </c>
      <c r="E176" t="n">
        <v>10</v>
      </c>
      <c r="F176" t="n">
        <v>6</v>
      </c>
      <c r="G176" t="n">
        <v>0</v>
      </c>
      <c r="H176" s="5" t="n">
        <v>11.322827</v>
      </c>
      <c r="I176" s="5" t="n">
        <v>95.991567</v>
      </c>
      <c r="M176">
        <f>COUNTIFS($B$5:$B$2000,B176,$C$5:$C$2000,C176)+COUNTIFS('PG Roster'!$B$5:$B$2000,B176,'PG Roster'!$C$5:$C$2000,C176)</f>
        <v/>
      </c>
      <c r="N176">
        <f>IFERROR(INDEX('Known Players'!$C$5:$C$500,MATCH(B176&amp;"|"&amp;C176,'Known Players'!$F$5:$F$500,0)),"")</f>
        <v/>
      </c>
      <c r="O176">
        <f>IFERROR(INDEX('Known Players'!$D$5:$D$500,MATCH(B176&amp;"|"&amp;C176,'Known Players'!$F$5:$F$500,0)),"")</f>
        <v/>
      </c>
      <c r="P176">
        <f>IFERROR(INDEX('Known Players'!$G$5:$G$500,MATCH(B176&amp;"|"&amp;C176,'Known Players'!$F$5:$F$500,0)),"")</f>
        <v/>
      </c>
    </row>
    <row r="177">
      <c r="A177" t="n">
        <v>48</v>
      </c>
      <c r="B177" t="inlineStr">
        <is>
          <t>Mossweaver</t>
        </is>
      </c>
      <c r="C177" t="inlineStr">
        <is>
          <t>exampleworld001</t>
        </is>
      </c>
      <c r="D177" t="inlineStr">
        <is>
          <t>Horde</t>
        </is>
      </c>
      <c r="E177" t="n">
        <v>4</v>
      </c>
      <c r="F177" t="n">
        <v>9</v>
      </c>
      <c r="G177" t="n">
        <v>0</v>
      </c>
      <c r="H177" s="5" t="n">
        <v>10.418627</v>
      </c>
      <c r="I177" s="5" t="n">
        <v>81.990167</v>
      </c>
      <c r="M177">
        <f>COUNTIFS($B$5:$B$2000,B177,$C$5:$C$2000,C177)+COUNTIFS('PG Roster'!$B$5:$B$2000,B177,'PG Roster'!$C$5:$C$2000,C177)</f>
        <v/>
      </c>
      <c r="N177">
        <f>IFERROR(INDEX('Known Players'!$C$5:$C$500,MATCH(B177&amp;"|"&amp;C177,'Known Players'!$F$5:$F$500,0)),"")</f>
        <v/>
      </c>
      <c r="O177">
        <f>IFERROR(INDEX('Known Players'!$D$5:$D$500,MATCH(B177&amp;"|"&amp;C177,'Known Players'!$F$5:$F$500,0)),"")</f>
        <v/>
      </c>
      <c r="P177">
        <f>IFERROR(INDEX('Known Players'!$G$5:$G$500,MATCH(B177&amp;"|"&amp;C177,'Known Players'!$F$5:$F$500,0)),"")</f>
        <v/>
      </c>
    </row>
    <row r="178">
      <c r="A178" t="n">
        <v>48</v>
      </c>
      <c r="B178" t="inlineStr">
        <is>
          <t>Player0888</t>
        </is>
      </c>
      <c r="C178" t="inlineStr">
        <is>
          <t>ExampleWorld192</t>
        </is>
      </c>
      <c r="D178" t="inlineStr">
        <is>
          <t>Horde</t>
        </is>
      </c>
      <c r="E178" t="n">
        <v>0</v>
      </c>
      <c r="F178" t="n">
        <v>5</v>
      </c>
      <c r="G178" t="n">
        <v>10</v>
      </c>
      <c r="H178" s="5" t="n">
        <v>14.610827</v>
      </c>
      <c r="I178" s="5" t="n">
        <v>76.811567</v>
      </c>
      <c r="J178" t="inlineStr">
        <is>
          <t>Carts captured: 1</t>
        </is>
      </c>
      <c r="K178" t="inlineStr">
        <is>
          <t>Synthetic example</t>
        </is>
      </c>
      <c r="M178">
        <f>COUNTIFS($B$5:$B$2000,B178,$C$5:$C$2000,C178)+COUNTIFS('PG Roster'!$B$5:$B$2000,B178,'PG Roster'!$C$5:$C$2000,C178)</f>
        <v/>
      </c>
      <c r="N178">
        <f>IFERROR(INDEX('Known Players'!$C$5:$C$500,MATCH(B178&amp;"|"&amp;C178,'Known Players'!$F$5:$F$500,0)),"")</f>
        <v/>
      </c>
      <c r="O178">
        <f>IFERROR(INDEX('Known Players'!$D$5:$D$500,MATCH(B178&amp;"|"&amp;C178,'Known Players'!$F$5:$F$500,0)),"")</f>
        <v/>
      </c>
      <c r="P178">
        <f>IFERROR(INDEX('Known Players'!$G$5:$G$500,MATCH(B178&amp;"|"&amp;C178,'Known Players'!$F$5:$F$500,0)),"")</f>
        <v/>
      </c>
    </row>
    <row r="179">
      <c r="A179" t="n">
        <v>48</v>
      </c>
      <c r="B179" t="inlineStr">
        <is>
          <t>Player0668</t>
        </is>
      </c>
      <c r="C179" t="inlineStr">
        <is>
          <t>ExampleWorld010</t>
        </is>
      </c>
      <c r="D179" t="inlineStr">
        <is>
          <t>Horde</t>
        </is>
      </c>
      <c r="E179" t="n">
        <v>6</v>
      </c>
      <c r="F179" t="n">
        <v>6</v>
      </c>
      <c r="G179" t="n">
        <v>2</v>
      </c>
      <c r="H179" s="5" t="n">
        <v>65.848827</v>
      </c>
      <c r="I179" s="5" t="n">
        <v>17.353567</v>
      </c>
      <c r="M179">
        <f>COUNTIFS($B$5:$B$2000,B179,$C$5:$C$2000,C179)+COUNTIFS('PG Roster'!$B$5:$B$2000,B179,'PG Roster'!$C$5:$C$2000,C179)</f>
        <v/>
      </c>
      <c r="N179">
        <f>IFERROR(INDEX('Known Players'!$C$5:$C$500,MATCH(B179&amp;"|"&amp;C179,'Known Players'!$F$5:$F$500,0)),"")</f>
        <v/>
      </c>
      <c r="O179">
        <f>IFERROR(INDEX('Known Players'!$D$5:$D$500,MATCH(B179&amp;"|"&amp;C179,'Known Players'!$F$5:$F$500,0)),"")</f>
        <v/>
      </c>
      <c r="P179">
        <f>IFERROR(INDEX('Known Players'!$G$5:$G$500,MATCH(B179&amp;"|"&amp;C179,'Known Players'!$F$5:$F$500,0)),"")</f>
        <v/>
      </c>
    </row>
    <row r="180">
      <c r="A180" t="n">
        <v>48</v>
      </c>
      <c r="B180" t="inlineStr">
        <is>
          <t>Player0316</t>
        </is>
      </c>
      <c r="C180" t="inlineStr">
        <is>
          <t>ExampleWorld026</t>
        </is>
      </c>
      <c r="D180" t="inlineStr">
        <is>
          <t>Horde</t>
        </is>
      </c>
      <c r="E180" t="n">
        <v>4</v>
      </c>
      <c r="F180" t="n">
        <v>6</v>
      </c>
      <c r="G180" t="n">
        <v>7</v>
      </c>
      <c r="H180" s="5" t="n">
        <v>98.728827</v>
      </c>
      <c r="I180" s="5" t="n">
        <v>16.531567</v>
      </c>
      <c r="J180" t="inlineStr">
        <is>
          <t>Carts captured: 2</t>
        </is>
      </c>
      <c r="M180">
        <f>COUNTIFS($B$5:$B$2000,B180,$C$5:$C$2000,C180)+COUNTIFS('PG Roster'!$B$5:$B$2000,B180,'PG Roster'!$C$5:$C$2000,C180)</f>
        <v/>
      </c>
      <c r="N180">
        <f>IFERROR(INDEX('Known Players'!$C$5:$C$500,MATCH(B180&amp;"|"&amp;C180,'Known Players'!$F$5:$F$500,0)),"")</f>
        <v/>
      </c>
      <c r="O180">
        <f>IFERROR(INDEX('Known Players'!$D$5:$D$500,MATCH(B180&amp;"|"&amp;C180,'Known Players'!$F$5:$F$500,0)),"")</f>
        <v/>
      </c>
      <c r="P180">
        <f>IFERROR(INDEX('Known Players'!$G$5:$G$500,MATCH(B180&amp;"|"&amp;C180,'Known Players'!$F$5:$F$500,0)),"")</f>
        <v/>
      </c>
    </row>
    <row r="181">
      <c r="A181" t="n">
        <v>48</v>
      </c>
      <c r="B181" t="inlineStr">
        <is>
          <t>Player0716</t>
        </is>
      </c>
      <c r="C181" t="inlineStr">
        <is>
          <t>ExampleWorld104</t>
        </is>
      </c>
      <c r="D181" t="inlineStr">
        <is>
          <t>Horde</t>
        </is>
      </c>
      <c r="E181" t="n">
        <v>7</v>
      </c>
      <c r="F181" t="n">
        <v>1</v>
      </c>
      <c r="G181" t="n">
        <v>7</v>
      </c>
      <c r="H181" s="5" t="n">
        <v>41.188827</v>
      </c>
      <c r="I181" s="5" t="n">
        <v>14.065567</v>
      </c>
      <c r="M181">
        <f>COUNTIFS($B$5:$B$2000,B181,$C$5:$C$2000,C181)+COUNTIFS('PG Roster'!$B$5:$B$2000,B181,'PG Roster'!$C$5:$C$2000,C181)</f>
        <v/>
      </c>
      <c r="N181">
        <f>IFERROR(INDEX('Known Players'!$C$5:$C$500,MATCH(B181&amp;"|"&amp;C181,'Known Players'!$F$5:$F$500,0)),"")</f>
        <v/>
      </c>
      <c r="O181">
        <f>IFERROR(INDEX('Known Players'!$D$5:$D$500,MATCH(B181&amp;"|"&amp;C181,'Known Players'!$F$5:$F$500,0)),"")</f>
        <v/>
      </c>
      <c r="P181">
        <f>IFERROR(INDEX('Known Players'!$G$5:$G$500,MATCH(B181&amp;"|"&amp;C181,'Known Players'!$F$5:$F$500,0)),"")</f>
        <v/>
      </c>
    </row>
    <row r="182">
      <c r="A182" t="n">
        <v>48</v>
      </c>
      <c r="B182" t="inlineStr">
        <is>
          <t>Snowflare</t>
        </is>
      </c>
      <c r="C182" t="inlineStr">
        <is>
          <t>SandboxRealm</t>
        </is>
      </c>
      <c r="D182" t="inlineStr">
        <is>
          <t>Horde</t>
        </is>
      </c>
      <c r="E182" t="n">
        <v>9</v>
      </c>
      <c r="F182" t="n">
        <v>6</v>
      </c>
      <c r="G182" t="n">
        <v>4</v>
      </c>
      <c r="H182" s="5" t="n">
        <v>90.508827</v>
      </c>
      <c r="I182" s="5" t="n">
        <v>13.791567</v>
      </c>
      <c r="M182">
        <f>COUNTIFS($B$5:$B$2000,B182,$C$5:$C$2000,C182)+COUNTIFS('PG Roster'!$B$5:$B$2000,B182,'PG Roster'!$C$5:$C$2000,C182)</f>
        <v/>
      </c>
      <c r="N182">
        <f>IFERROR(INDEX('Known Players'!$C$5:$C$500,MATCH(B182&amp;"|"&amp;C182,'Known Players'!$F$5:$F$500,0)),"")</f>
        <v/>
      </c>
      <c r="O182">
        <f>IFERROR(INDEX('Known Players'!$D$5:$D$500,MATCH(B182&amp;"|"&amp;C182,'Known Players'!$F$5:$F$500,0)),"")</f>
        <v/>
      </c>
      <c r="P182">
        <f>IFERROR(INDEX('Known Players'!$G$5:$G$500,MATCH(B182&amp;"|"&amp;C182,'Known Players'!$F$5:$F$500,0)),"")</f>
        <v/>
      </c>
    </row>
    <row r="183">
      <c r="A183" t="n">
        <v>48</v>
      </c>
      <c r="B183" t="inlineStr">
        <is>
          <t>Thornpaw</t>
        </is>
      </c>
      <c r="C183" t="inlineStr">
        <is>
          <t>SandboxRealm</t>
        </is>
      </c>
      <c r="D183" t="inlineStr">
        <is>
          <t>Horde</t>
        </is>
      </c>
      <c r="E183" t="n">
        <v>5</v>
      </c>
      <c r="F183" t="n">
        <v>7</v>
      </c>
      <c r="G183" t="n">
        <v>0</v>
      </c>
      <c r="H183" s="5" t="n">
        <v>16.254827</v>
      </c>
      <c r="I183" s="5" t="n">
        <v>13.243567</v>
      </c>
      <c r="J183" t="inlineStr">
        <is>
          <t>Carts captured: 5</t>
        </is>
      </c>
      <c r="M183">
        <f>COUNTIFS($B$5:$B$2000,B183,$C$5:$C$2000,C183)+COUNTIFS('PG Roster'!$B$5:$B$2000,B183,'PG Roster'!$C$5:$C$2000,C183)</f>
        <v/>
      </c>
      <c r="N183">
        <f>IFERROR(INDEX('Known Players'!$C$5:$C$500,MATCH(B183&amp;"|"&amp;C183,'Known Players'!$F$5:$F$500,0)),"")</f>
        <v/>
      </c>
      <c r="O183">
        <f>IFERROR(INDEX('Known Players'!$D$5:$D$500,MATCH(B183&amp;"|"&amp;C183,'Known Players'!$F$5:$F$500,0)),"")</f>
        <v/>
      </c>
      <c r="P183">
        <f>IFERROR(INDEX('Known Players'!$G$5:$G$500,MATCH(B183&amp;"|"&amp;C183,'Known Players'!$F$5:$F$500,0)),"")</f>
        <v/>
      </c>
    </row>
    <row r="184">
      <c r="A184" t="n">
        <v>48</v>
      </c>
      <c r="B184" t="inlineStr">
        <is>
          <t>Player0839</t>
        </is>
      </c>
      <c r="C184" t="inlineStr">
        <is>
          <t>SandboxRealm</t>
        </is>
      </c>
      <c r="D184" t="inlineStr">
        <is>
          <t>Horde</t>
        </is>
      </c>
      <c r="E184" t="n">
        <v>4</v>
      </c>
      <c r="F184" t="n">
        <v>7</v>
      </c>
      <c r="G184" t="n">
        <v>10</v>
      </c>
      <c r="H184" s="5" t="n">
        <v>20.090827</v>
      </c>
      <c r="I184" s="5" t="n">
        <v>11.873567</v>
      </c>
      <c r="M184">
        <f>COUNTIFS($B$5:$B$2000,B184,$C$5:$C$2000,C184)+COUNTIFS('PG Roster'!$B$5:$B$2000,B184,'PG Roster'!$C$5:$C$2000,C184)</f>
        <v/>
      </c>
      <c r="N184">
        <f>IFERROR(INDEX('Known Players'!$C$5:$C$500,MATCH(B184&amp;"|"&amp;C184,'Known Players'!$F$5:$F$500,0)),"")</f>
        <v/>
      </c>
      <c r="O184">
        <f>IFERROR(INDEX('Known Players'!$D$5:$D$500,MATCH(B184&amp;"|"&amp;C184,'Known Players'!$F$5:$F$500,0)),"")</f>
        <v/>
      </c>
      <c r="P184">
        <f>IFERROR(INDEX('Known Players'!$G$5:$G$500,MATCH(B184&amp;"|"&amp;C184,'Known Players'!$F$5:$F$500,0)),"")</f>
        <v/>
      </c>
    </row>
    <row r="185">
      <c r="A185" t="n">
        <v>48</v>
      </c>
      <c r="B185" t="inlineStr">
        <is>
          <t>Player0225</t>
        </is>
      </c>
      <c r="C185" t="inlineStr">
        <is>
          <t>ExampleWorld102</t>
        </is>
      </c>
      <c r="D185" t="inlineStr">
        <is>
          <t>Horde</t>
        </is>
      </c>
      <c r="E185" t="n">
        <v>0</v>
      </c>
      <c r="F185" t="n">
        <v>7</v>
      </c>
      <c r="G185" t="n">
        <v>2</v>
      </c>
      <c r="H185" s="5" t="n">
        <v>11.322827</v>
      </c>
      <c r="I185" s="5" t="n">
        <v>9.133566999999999</v>
      </c>
      <c r="M185">
        <f>COUNTIFS($B$5:$B$2000,B185,$C$5:$C$2000,C185)+COUNTIFS('PG Roster'!$B$5:$B$2000,B185,'PG Roster'!$C$5:$C$2000,C185)</f>
        <v/>
      </c>
      <c r="N185">
        <f>IFERROR(INDEX('Known Players'!$C$5:$C$500,MATCH(B185&amp;"|"&amp;C185,'Known Players'!$F$5:$F$500,0)),"")</f>
        <v/>
      </c>
      <c r="O185">
        <f>IFERROR(INDEX('Known Players'!$D$5:$D$500,MATCH(B185&amp;"|"&amp;C185,'Known Players'!$F$5:$F$500,0)),"")</f>
        <v/>
      </c>
      <c r="P185">
        <f>IFERROR(INDEX('Known Players'!$G$5:$G$500,MATCH(B185&amp;"|"&amp;C185,'Known Players'!$F$5:$F$500,0)),"")</f>
        <v/>
      </c>
    </row>
    <row r="186">
      <c r="A186" t="n">
        <v>48</v>
      </c>
      <c r="B186" t="inlineStr">
        <is>
          <t>Player0250</t>
        </is>
      </c>
      <c r="C186" t="inlineStr">
        <is>
          <t>ExampleWorld167</t>
        </is>
      </c>
      <c r="D186" t="inlineStr">
        <is>
          <t>Horde</t>
        </is>
      </c>
      <c r="E186" t="n">
        <v>2</v>
      </c>
      <c r="F186" t="n">
        <v>9</v>
      </c>
      <c r="G186" t="n">
        <v>2</v>
      </c>
      <c r="H186" s="5" t="n">
        <v>38.448827</v>
      </c>
      <c r="I186" s="5" t="n">
        <v>6.667567</v>
      </c>
      <c r="M186">
        <f>COUNTIFS($B$5:$B$2000,B186,$C$5:$C$2000,C186)+COUNTIFS('PG Roster'!$B$5:$B$2000,B186,'PG Roster'!$C$5:$C$2000,C186)</f>
        <v/>
      </c>
      <c r="N186">
        <f>IFERROR(INDEX('Known Players'!$C$5:$C$500,MATCH(B186&amp;"|"&amp;C186,'Known Players'!$F$5:$F$500,0)),"")</f>
        <v/>
      </c>
      <c r="O186">
        <f>IFERROR(INDEX('Known Players'!$D$5:$D$500,MATCH(B186&amp;"|"&amp;C186,'Known Players'!$F$5:$F$500,0)),"")</f>
        <v/>
      </c>
      <c r="P186">
        <f>IFERROR(INDEX('Known Players'!$G$5:$G$500,MATCH(B186&amp;"|"&amp;C186,'Known Players'!$F$5:$F$500,0)),"")</f>
        <v/>
      </c>
    </row>
    <row r="187">
      <c r="A187" t="n">
        <v>48</v>
      </c>
      <c r="B187" t="inlineStr">
        <is>
          <t>Emberguard</t>
        </is>
      </c>
      <c r="C187" t="inlineStr">
        <is>
          <t>SandboxRealm</t>
        </is>
      </c>
      <c r="D187" t="inlineStr">
        <is>
          <t>Horde</t>
        </is>
      </c>
      <c r="E187" t="n">
        <v>0</v>
      </c>
      <c r="F187" t="n">
        <v>9</v>
      </c>
      <c r="G187" t="n">
        <v>0</v>
      </c>
      <c r="H187" s="5" t="n">
        <v>95.988827</v>
      </c>
      <c r="I187" s="5" t="n">
        <v>5.845567</v>
      </c>
      <c r="M187">
        <f>COUNTIFS($B$5:$B$2000,B187,$C$5:$C$2000,C187)+COUNTIFS('PG Roster'!$B$5:$B$2000,B187,'PG Roster'!$C$5:$C$2000,C187)</f>
        <v/>
      </c>
      <c r="N187">
        <f>IFERROR(INDEX('Known Players'!$C$5:$C$500,MATCH(B187&amp;"|"&amp;C187,'Known Players'!$F$5:$F$500,0)),"")</f>
        <v/>
      </c>
      <c r="O187">
        <f>IFERROR(INDEX('Known Players'!$D$5:$D$500,MATCH(B187&amp;"|"&amp;C187,'Known Players'!$F$5:$F$500,0)),"")</f>
        <v/>
      </c>
      <c r="P187">
        <f>IFERROR(INDEX('Known Players'!$G$5:$G$500,MATCH(B187&amp;"|"&amp;C187,'Known Players'!$F$5:$F$500,0)),"")</f>
        <v/>
      </c>
    </row>
    <row r="188">
      <c r="A188" t="n">
        <v>48</v>
      </c>
      <c r="B188" t="inlineStr">
        <is>
          <t>Player0504</t>
        </is>
      </c>
      <c r="C188" t="inlineStr">
        <is>
          <t>ExampleWorld110</t>
        </is>
      </c>
      <c r="D188" t="inlineStr">
        <is>
          <t>Horde</t>
        </is>
      </c>
      <c r="E188" t="n">
        <v>7</v>
      </c>
      <c r="F188" t="n">
        <v>3</v>
      </c>
      <c r="G188" t="n">
        <v>5</v>
      </c>
      <c r="H188" s="5" t="n">
        <v>38.448827</v>
      </c>
      <c r="I188" s="5" t="n">
        <v>5.297567</v>
      </c>
      <c r="M188">
        <f>COUNTIFS($B$5:$B$2000,B188,$C$5:$C$2000,C188)+COUNTIFS('PG Roster'!$B$5:$B$2000,B188,'PG Roster'!$C$5:$C$2000,C188)</f>
        <v/>
      </c>
      <c r="N188">
        <f>IFERROR(INDEX('Known Players'!$C$5:$C$500,MATCH(B188&amp;"|"&amp;C188,'Known Players'!$F$5:$F$500,0)),"")</f>
        <v/>
      </c>
      <c r="O188">
        <f>IFERROR(INDEX('Known Players'!$D$5:$D$500,MATCH(B188&amp;"|"&amp;C188,'Known Players'!$F$5:$F$500,0)),"")</f>
        <v/>
      </c>
      <c r="P188">
        <f>IFERROR(INDEX('Known Players'!$G$5:$G$500,MATCH(B188&amp;"|"&amp;C188,'Known Players'!$F$5:$F$500,0)),"")</f>
        <v/>
      </c>
    </row>
    <row r="189">
      <c r="A189" t="n">
        <v>48</v>
      </c>
      <c r="B189" t="inlineStr">
        <is>
          <t>Player0036</t>
        </is>
      </c>
      <c r="C189" t="inlineStr">
        <is>
          <t>ExampleWorld137</t>
        </is>
      </c>
      <c r="D189" t="inlineStr">
        <is>
          <t>Horde</t>
        </is>
      </c>
      <c r="E189" t="n">
        <v>0</v>
      </c>
      <c r="F189" t="n">
        <v>7</v>
      </c>
      <c r="G189" t="n">
        <v>2</v>
      </c>
      <c r="H189" s="5" t="n">
        <v>13.514827</v>
      </c>
      <c r="I189" s="5" t="n">
        <v>3.379567</v>
      </c>
      <c r="M189">
        <f>COUNTIFS($B$5:$B$2000,B189,$C$5:$C$2000,C189)+COUNTIFS('PG Roster'!$B$5:$B$2000,B189,'PG Roster'!$C$5:$C$2000,C189)</f>
        <v/>
      </c>
      <c r="N189">
        <f>IFERROR(INDEX('Known Players'!$C$5:$C$500,MATCH(B189&amp;"|"&amp;C189,'Known Players'!$F$5:$F$500,0)),"")</f>
        <v/>
      </c>
      <c r="O189">
        <f>IFERROR(INDEX('Known Players'!$D$5:$D$500,MATCH(B189&amp;"|"&amp;C189,'Known Players'!$F$5:$F$500,0)),"")</f>
        <v/>
      </c>
      <c r="P189">
        <f>IFERROR(INDEX('Known Players'!$G$5:$G$500,MATCH(B189&amp;"|"&amp;C189,'Known Players'!$F$5:$F$500,0)),"")</f>
        <v/>
      </c>
    </row>
    <row r="190">
      <c r="A190" t="n">
        <v>48</v>
      </c>
      <c r="B190" t="inlineStr">
        <is>
          <t>Player0134</t>
        </is>
      </c>
      <c r="C190" t="inlineStr">
        <is>
          <t>PracticeRealm</t>
        </is>
      </c>
      <c r="D190" t="inlineStr">
        <is>
          <t>Horde</t>
        </is>
      </c>
      <c r="E190" t="n">
        <v>10</v>
      </c>
      <c r="F190" t="n">
        <v>0</v>
      </c>
      <c r="G190" t="n">
        <v>2</v>
      </c>
      <c r="H190" s="5" t="n">
        <v>27.488827</v>
      </c>
      <c r="I190" s="5" t="n">
        <v>1.546507</v>
      </c>
      <c r="M190">
        <f>COUNTIFS($B$5:$B$2000,B190,$C$5:$C$2000,C190)+COUNTIFS('PG Roster'!$B$5:$B$2000,B190,'PG Roster'!$C$5:$C$2000,C190)</f>
        <v/>
      </c>
      <c r="N190">
        <f>IFERROR(INDEX('Known Players'!$C$5:$C$500,MATCH(B190&amp;"|"&amp;C190,'Known Players'!$F$5:$F$500,0)),"")</f>
        <v/>
      </c>
      <c r="O190">
        <f>IFERROR(INDEX('Known Players'!$D$5:$D$500,MATCH(B190&amp;"|"&amp;C190,'Known Players'!$F$5:$F$500,0)),"")</f>
        <v/>
      </c>
      <c r="P190">
        <f>IFERROR(INDEX('Known Players'!$G$5:$G$500,MATCH(B190&amp;"|"&amp;C190,'Known Players'!$F$5:$F$500,0)),"")</f>
        <v/>
      </c>
    </row>
    <row r="191">
      <c r="A191" t="n">
        <v>48</v>
      </c>
      <c r="B191" t="inlineStr">
        <is>
          <t>Player0260</t>
        </is>
      </c>
      <c r="C191" t="inlineStr">
        <is>
          <t>ExampleWorld158</t>
        </is>
      </c>
      <c r="D191" t="inlineStr">
        <is>
          <t>Alliance</t>
        </is>
      </c>
      <c r="E191" t="n">
        <v>7</v>
      </c>
      <c r="F191" t="n">
        <v>5</v>
      </c>
      <c r="G191" t="n">
        <v>0</v>
      </c>
      <c r="H191" s="5" t="n">
        <v>13.788827</v>
      </c>
      <c r="I191" s="5" t="n">
        <v>90.511567</v>
      </c>
      <c r="J191" t="inlineStr">
        <is>
          <t>Carts captured: 2</t>
        </is>
      </c>
      <c r="M191">
        <f>COUNTIFS($B$5:$B$2000,B191,$C$5:$C$2000,C191)+COUNTIFS('PG Roster'!$B$5:$B$2000,B191,'PG Roster'!$C$5:$C$2000,C191)</f>
        <v/>
      </c>
      <c r="N191">
        <f>IFERROR(INDEX('Known Players'!$C$5:$C$500,MATCH(B191&amp;"|"&amp;C191,'Known Players'!$F$5:$F$500,0)),"")</f>
        <v/>
      </c>
      <c r="O191">
        <f>IFERROR(INDEX('Known Players'!$D$5:$D$500,MATCH(B191&amp;"|"&amp;C191,'Known Players'!$F$5:$F$500,0)),"")</f>
        <v/>
      </c>
      <c r="P191">
        <f>IFERROR(INDEX('Known Players'!$G$5:$G$500,MATCH(B191&amp;"|"&amp;C191,'Known Players'!$F$5:$F$500,0)),"")</f>
        <v/>
      </c>
    </row>
    <row r="192">
      <c r="A192" t="n">
        <v>48</v>
      </c>
      <c r="B192" t="inlineStr">
        <is>
          <t>Player0043</t>
        </is>
      </c>
      <c r="C192" t="inlineStr">
        <is>
          <t>ExampleWorld107</t>
        </is>
      </c>
      <c r="D192" t="inlineStr">
        <is>
          <t>Alliance</t>
        </is>
      </c>
      <c r="E192" t="n">
        <v>2</v>
      </c>
      <c r="F192" t="n">
        <v>1</v>
      </c>
      <c r="G192" t="n">
        <v>0</v>
      </c>
      <c r="H192" s="5" t="n">
        <v>14.610827</v>
      </c>
      <c r="I192" s="5" t="n">
        <v>63.111567</v>
      </c>
      <c r="M192">
        <f>COUNTIFS($B$5:$B$2000,B192,$C$5:$C$2000,C192)+COUNTIFS('PG Roster'!$B$5:$B$2000,B192,'PG Roster'!$C$5:$C$2000,C192)</f>
        <v/>
      </c>
      <c r="N192">
        <f>IFERROR(INDEX('Known Players'!$C$5:$C$500,MATCH(B192&amp;"|"&amp;C192,'Known Players'!$F$5:$F$500,0)),"")</f>
        <v/>
      </c>
      <c r="O192">
        <f>IFERROR(INDEX('Known Players'!$D$5:$D$500,MATCH(B192&amp;"|"&amp;C192,'Known Players'!$F$5:$F$500,0)),"")</f>
        <v/>
      </c>
      <c r="P192">
        <f>IFERROR(INDEX('Known Players'!$G$5:$G$500,MATCH(B192&amp;"|"&amp;C192,'Known Players'!$F$5:$F$500,0)),"")</f>
        <v/>
      </c>
    </row>
    <row r="193">
      <c r="A193" t="n">
        <v>48</v>
      </c>
      <c r="B193" t="inlineStr">
        <is>
          <t>Player0563</t>
        </is>
      </c>
      <c r="C193" t="inlineStr">
        <is>
          <t>ExampleWorld133</t>
        </is>
      </c>
      <c r="D193" t="inlineStr">
        <is>
          <t>Alliance</t>
        </is>
      </c>
      <c r="E193" t="n">
        <v>4</v>
      </c>
      <c r="F193" t="n">
        <v>1</v>
      </c>
      <c r="G193" t="n">
        <v>7</v>
      </c>
      <c r="H193" s="5" t="n">
        <v>9.678827</v>
      </c>
      <c r="I193" s="5" t="n">
        <v>63.111567</v>
      </c>
      <c r="J193" t="inlineStr">
        <is>
          <t>Carts captured: 4</t>
        </is>
      </c>
      <c r="M193">
        <f>COUNTIFS($B$5:$B$2000,B193,$C$5:$C$2000,C193)+COUNTIFS('PG Roster'!$B$5:$B$2000,B193,'PG Roster'!$C$5:$C$2000,C193)</f>
        <v/>
      </c>
      <c r="N193">
        <f>IFERROR(INDEX('Known Players'!$C$5:$C$500,MATCH(B193&amp;"|"&amp;C193,'Known Players'!$F$5:$F$500,0)),"")</f>
        <v/>
      </c>
      <c r="O193">
        <f>IFERROR(INDEX('Known Players'!$D$5:$D$500,MATCH(B193&amp;"|"&amp;C193,'Known Players'!$F$5:$F$500,0)),"")</f>
        <v/>
      </c>
      <c r="P193">
        <f>IFERROR(INDEX('Known Players'!$G$5:$G$500,MATCH(B193&amp;"|"&amp;C193,'Known Players'!$F$5:$F$500,0)),"")</f>
        <v/>
      </c>
    </row>
    <row r="194">
      <c r="A194" t="n">
        <v>48</v>
      </c>
      <c r="B194" t="inlineStr">
        <is>
          <t>Player0610</t>
        </is>
      </c>
      <c r="C194" t="inlineStr">
        <is>
          <t>ExampleWorld116</t>
        </is>
      </c>
      <c r="D194" t="inlineStr">
        <is>
          <t>Alliance</t>
        </is>
      </c>
      <c r="E194" t="n">
        <v>4</v>
      </c>
      <c r="F194" t="n">
        <v>7</v>
      </c>
      <c r="G194" t="n">
        <v>2</v>
      </c>
      <c r="H194" s="5" t="n">
        <v>27.214827</v>
      </c>
      <c r="I194" s="5" t="n">
        <v>41.191567</v>
      </c>
      <c r="M194">
        <f>COUNTIFS($B$5:$B$2000,B194,$C$5:$C$2000,C194)+COUNTIFS('PG Roster'!$B$5:$B$2000,B194,'PG Roster'!$C$5:$C$2000,C194)</f>
        <v/>
      </c>
      <c r="N194">
        <f>IFERROR(INDEX('Known Players'!$C$5:$C$500,MATCH(B194&amp;"|"&amp;C194,'Known Players'!$F$5:$F$500,0)),"")</f>
        <v/>
      </c>
      <c r="O194">
        <f>IFERROR(INDEX('Known Players'!$D$5:$D$500,MATCH(B194&amp;"|"&amp;C194,'Known Players'!$F$5:$F$500,0)),"")</f>
        <v/>
      </c>
      <c r="P194">
        <f>IFERROR(INDEX('Known Players'!$G$5:$G$500,MATCH(B194&amp;"|"&amp;C194,'Known Players'!$F$5:$F$500,0)),"")</f>
        <v/>
      </c>
    </row>
    <row r="195">
      <c r="A195" t="n">
        <v>48</v>
      </c>
      <c r="B195" t="inlineStr">
        <is>
          <t>Player0574</t>
        </is>
      </c>
      <c r="C195" t="inlineStr">
        <is>
          <t>ExampleWorld084</t>
        </is>
      </c>
      <c r="D195" t="inlineStr">
        <is>
          <t>Alliance</t>
        </is>
      </c>
      <c r="E195" t="n">
        <v>0</v>
      </c>
      <c r="F195" t="n">
        <v>10</v>
      </c>
      <c r="G195" t="n">
        <v>7</v>
      </c>
      <c r="H195" s="5" t="n">
        <v>17.076827</v>
      </c>
      <c r="I195" s="5" t="n">
        <v>25.573567</v>
      </c>
      <c r="M195">
        <f>COUNTIFS($B$5:$B$2000,B195,$C$5:$C$2000,C195)+COUNTIFS('PG Roster'!$B$5:$B$2000,B195,'PG Roster'!$C$5:$C$2000,C195)</f>
        <v/>
      </c>
      <c r="N195">
        <f>IFERROR(INDEX('Known Players'!$C$5:$C$500,MATCH(B195&amp;"|"&amp;C195,'Known Players'!$F$5:$F$500,0)),"")</f>
        <v/>
      </c>
      <c r="O195">
        <f>IFERROR(INDEX('Known Players'!$D$5:$D$500,MATCH(B195&amp;"|"&amp;C195,'Known Players'!$F$5:$F$500,0)),"")</f>
        <v/>
      </c>
      <c r="P195">
        <f>IFERROR(INDEX('Known Players'!$G$5:$G$500,MATCH(B195&amp;"|"&amp;C195,'Known Players'!$F$5:$F$500,0)),"")</f>
        <v/>
      </c>
    </row>
    <row r="196">
      <c r="A196" t="n">
        <v>48</v>
      </c>
      <c r="B196" t="inlineStr">
        <is>
          <t>Player0953</t>
        </is>
      </c>
      <c r="C196" t="inlineStr">
        <is>
          <t>ExampleWorld090</t>
        </is>
      </c>
      <c r="D196" t="inlineStr">
        <is>
          <t>Alliance</t>
        </is>
      </c>
      <c r="E196" t="n">
        <v>10</v>
      </c>
      <c r="F196" t="n">
        <v>0</v>
      </c>
      <c r="G196" t="n">
        <v>7</v>
      </c>
      <c r="H196" s="5" t="n">
        <v>71.328827</v>
      </c>
      <c r="I196" s="5" t="n">
        <v>25.025567</v>
      </c>
      <c r="M196">
        <f>COUNTIFS($B$5:$B$2000,B196,$C$5:$C$2000,C196)+COUNTIFS('PG Roster'!$B$5:$B$2000,B196,'PG Roster'!$C$5:$C$2000,C196)</f>
        <v/>
      </c>
      <c r="N196">
        <f>IFERROR(INDEX('Known Players'!$C$5:$C$500,MATCH(B196&amp;"|"&amp;C196,'Known Players'!$F$5:$F$500,0)),"")</f>
        <v/>
      </c>
      <c r="O196">
        <f>IFERROR(INDEX('Known Players'!$D$5:$D$500,MATCH(B196&amp;"|"&amp;C196,'Known Players'!$F$5:$F$500,0)),"")</f>
        <v/>
      </c>
      <c r="P196">
        <f>IFERROR(INDEX('Known Players'!$G$5:$G$500,MATCH(B196&amp;"|"&amp;C196,'Known Players'!$F$5:$F$500,0)),"")</f>
        <v/>
      </c>
    </row>
    <row r="197">
      <c r="A197" t="n">
        <v>48</v>
      </c>
      <c r="B197" t="inlineStr">
        <is>
          <t>Player0223</t>
        </is>
      </c>
      <c r="C197" t="inlineStr">
        <is>
          <t>ExampleWorld133</t>
        </is>
      </c>
      <c r="D197" t="inlineStr">
        <is>
          <t>Alliance</t>
        </is>
      </c>
      <c r="E197" t="n">
        <v>7</v>
      </c>
      <c r="F197" t="n">
        <v>7</v>
      </c>
      <c r="G197" t="n">
        <v>3</v>
      </c>
      <c r="H197" s="5" t="n">
        <v>43.928827</v>
      </c>
      <c r="I197" s="5" t="n">
        <v>22.011567</v>
      </c>
      <c r="M197">
        <f>COUNTIFS($B$5:$B$2000,B197,$C$5:$C$2000,C197)+COUNTIFS('PG Roster'!$B$5:$B$2000,B197,'PG Roster'!$C$5:$C$2000,C197)</f>
        <v/>
      </c>
      <c r="N197">
        <f>IFERROR(INDEX('Known Players'!$C$5:$C$500,MATCH(B197&amp;"|"&amp;C197,'Known Players'!$F$5:$F$500,0)),"")</f>
        <v/>
      </c>
      <c r="O197">
        <f>IFERROR(INDEX('Known Players'!$D$5:$D$500,MATCH(B197&amp;"|"&amp;C197,'Known Players'!$F$5:$F$500,0)),"")</f>
        <v/>
      </c>
      <c r="P197">
        <f>IFERROR(INDEX('Known Players'!$G$5:$G$500,MATCH(B197&amp;"|"&amp;C197,'Known Players'!$F$5:$F$500,0)),"")</f>
        <v/>
      </c>
    </row>
    <row r="198">
      <c r="A198" t="n">
        <v>48</v>
      </c>
      <c r="B198" t="inlineStr">
        <is>
          <t>Player0774</t>
        </is>
      </c>
      <c r="C198" t="inlineStr">
        <is>
          <t>ExampleWorld084</t>
        </is>
      </c>
      <c r="D198" t="inlineStr">
        <is>
          <t>Alliance</t>
        </is>
      </c>
      <c r="E198" t="n">
        <v>4</v>
      </c>
      <c r="F198" t="n">
        <v>7</v>
      </c>
      <c r="G198" t="n">
        <v>5</v>
      </c>
      <c r="H198" s="5" t="n">
        <v>26.940827</v>
      </c>
      <c r="I198" s="5" t="n">
        <v>12.421567</v>
      </c>
      <c r="M198">
        <f>COUNTIFS($B$5:$B$2000,B198,$C$5:$C$2000,C198)+COUNTIFS('PG Roster'!$B$5:$B$2000,B198,'PG Roster'!$C$5:$C$2000,C198)</f>
        <v/>
      </c>
      <c r="N198">
        <f>IFERROR(INDEX('Known Players'!$C$5:$C$500,MATCH(B198&amp;"|"&amp;C198,'Known Players'!$F$5:$F$500,0)),"")</f>
        <v/>
      </c>
      <c r="O198">
        <f>IFERROR(INDEX('Known Players'!$D$5:$D$500,MATCH(B198&amp;"|"&amp;C198,'Known Players'!$F$5:$F$500,0)),"")</f>
        <v/>
      </c>
      <c r="P198">
        <f>IFERROR(INDEX('Known Players'!$G$5:$G$500,MATCH(B198&amp;"|"&amp;C198,'Known Players'!$F$5:$F$500,0)),"")</f>
        <v/>
      </c>
    </row>
    <row r="199">
      <c r="A199" t="n">
        <v>48</v>
      </c>
      <c r="B199" t="inlineStr">
        <is>
          <t>Player0887</t>
        </is>
      </c>
      <c r="C199" t="inlineStr">
        <is>
          <t>ExampleWorld090</t>
        </is>
      </c>
      <c r="D199" t="inlineStr">
        <is>
          <t>Alliance</t>
        </is>
      </c>
      <c r="E199" t="n">
        <v>10</v>
      </c>
      <c r="F199" t="n">
        <v>8</v>
      </c>
      <c r="G199" t="n">
        <v>8</v>
      </c>
      <c r="H199" s="5" t="n">
        <v>41.188827</v>
      </c>
      <c r="I199" s="5" t="n">
        <v>10.503567</v>
      </c>
      <c r="M199">
        <f>COUNTIFS($B$5:$B$2000,B199,$C$5:$C$2000,C199)+COUNTIFS('PG Roster'!$B$5:$B$2000,B199,'PG Roster'!$C$5:$C$2000,C199)</f>
        <v/>
      </c>
      <c r="N199">
        <f>IFERROR(INDEX('Known Players'!$C$5:$C$500,MATCH(B199&amp;"|"&amp;C199,'Known Players'!$F$5:$F$500,0)),"")</f>
        <v/>
      </c>
      <c r="O199">
        <f>IFERROR(INDEX('Known Players'!$D$5:$D$500,MATCH(B199&amp;"|"&amp;C199,'Known Players'!$F$5:$F$500,0)),"")</f>
        <v/>
      </c>
      <c r="P199">
        <f>IFERROR(INDEX('Known Players'!$G$5:$G$500,MATCH(B199&amp;"|"&amp;C199,'Known Players'!$F$5:$F$500,0)),"")</f>
        <v/>
      </c>
    </row>
    <row r="200">
      <c r="A200" t="n">
        <v>48</v>
      </c>
      <c r="B200" t="inlineStr">
        <is>
          <t>Player0272</t>
        </is>
      </c>
      <c r="C200" t="inlineStr">
        <is>
          <t>ExampleWorld049</t>
        </is>
      </c>
      <c r="D200" t="inlineStr">
        <is>
          <t>Alliance</t>
        </is>
      </c>
      <c r="E200" t="n">
        <v>4</v>
      </c>
      <c r="F200" t="n">
        <v>2</v>
      </c>
      <c r="G200" t="n">
        <v>3</v>
      </c>
      <c r="H200" s="5" t="n">
        <v>32.968827</v>
      </c>
      <c r="I200" s="5" t="n">
        <v>9.133566999999999</v>
      </c>
      <c r="M200">
        <f>COUNTIFS($B$5:$B$2000,B200,$C$5:$C$2000,C200)+COUNTIFS('PG Roster'!$B$5:$B$2000,B200,'PG Roster'!$C$5:$C$2000,C200)</f>
        <v/>
      </c>
      <c r="N200">
        <f>IFERROR(INDEX('Known Players'!$C$5:$C$500,MATCH(B200&amp;"|"&amp;C200,'Known Players'!$F$5:$F$500,0)),"")</f>
        <v/>
      </c>
      <c r="O200">
        <f>IFERROR(INDEX('Known Players'!$D$5:$D$500,MATCH(B200&amp;"|"&amp;C200,'Known Players'!$F$5:$F$500,0)),"")</f>
        <v/>
      </c>
      <c r="P200">
        <f>IFERROR(INDEX('Known Players'!$G$5:$G$500,MATCH(B200&amp;"|"&amp;C200,'Known Players'!$F$5:$F$500,0)),"")</f>
        <v/>
      </c>
    </row>
    <row r="201">
      <c r="A201" t="n">
        <v>48</v>
      </c>
      <c r="B201" t="inlineStr">
        <is>
          <t>Player0127</t>
        </is>
      </c>
      <c r="C201" t="inlineStr">
        <is>
          <t>ExampleWorld133</t>
        </is>
      </c>
      <c r="D201" t="inlineStr">
        <is>
          <t>Alliance</t>
        </is>
      </c>
      <c r="E201" t="n">
        <v>5</v>
      </c>
      <c r="F201" t="n">
        <v>9</v>
      </c>
      <c r="G201" t="n">
        <v>2</v>
      </c>
      <c r="H201" s="5" t="n">
        <v>22.830827</v>
      </c>
      <c r="I201" s="5" t="n">
        <v>6.119567</v>
      </c>
      <c r="M201">
        <f>COUNTIFS($B$5:$B$2000,B201,$C$5:$C$2000,C201)+COUNTIFS('PG Roster'!$B$5:$B$2000,B201,'PG Roster'!$C$5:$C$2000,C201)</f>
        <v/>
      </c>
      <c r="N201">
        <f>IFERROR(INDEX('Known Players'!$C$5:$C$500,MATCH(B201&amp;"|"&amp;C201,'Known Players'!$F$5:$F$500,0)),"")</f>
        <v/>
      </c>
      <c r="O201">
        <f>IFERROR(INDEX('Known Players'!$D$5:$D$500,MATCH(B201&amp;"|"&amp;C201,'Known Players'!$F$5:$F$500,0)),"")</f>
        <v/>
      </c>
      <c r="P201">
        <f>IFERROR(INDEX('Known Players'!$G$5:$G$500,MATCH(B201&amp;"|"&amp;C201,'Known Players'!$F$5:$F$500,0)),"")</f>
        <v/>
      </c>
    </row>
    <row r="202">
      <c r="A202" t="n">
        <v>48</v>
      </c>
      <c r="B202" t="inlineStr">
        <is>
          <t>Player0478</t>
        </is>
      </c>
      <c r="C202" t="inlineStr">
        <is>
          <t>ExampleWorld133</t>
        </is>
      </c>
      <c r="D202" t="inlineStr">
        <is>
          <t>Alliance</t>
        </is>
      </c>
      <c r="E202" t="n">
        <v>0</v>
      </c>
      <c r="F202" t="n">
        <v>1</v>
      </c>
      <c r="G202" t="n">
        <v>0</v>
      </c>
      <c r="H202" s="5" t="n">
        <v>60.368827</v>
      </c>
      <c r="I202" s="5" t="n">
        <v>5.297567</v>
      </c>
      <c r="M202">
        <f>COUNTIFS($B$5:$B$2000,B202,$C$5:$C$2000,C202)+COUNTIFS('PG Roster'!$B$5:$B$2000,B202,'PG Roster'!$C$5:$C$2000,C202)</f>
        <v/>
      </c>
      <c r="N202">
        <f>IFERROR(INDEX('Known Players'!$C$5:$C$500,MATCH(B202&amp;"|"&amp;C202,'Known Players'!$F$5:$F$500,0)),"")</f>
        <v/>
      </c>
      <c r="O202">
        <f>IFERROR(INDEX('Known Players'!$D$5:$D$500,MATCH(B202&amp;"|"&amp;C202,'Known Players'!$F$5:$F$500,0)),"")</f>
        <v/>
      </c>
      <c r="P202">
        <f>IFERROR(INDEX('Known Players'!$G$5:$G$500,MATCH(B202&amp;"|"&amp;C202,'Known Players'!$F$5:$F$500,0)),"")</f>
        <v/>
      </c>
    </row>
    <row r="203">
      <c r="A203" t="n">
        <v>48</v>
      </c>
      <c r="B203" t="inlineStr">
        <is>
          <t>Player0593</t>
        </is>
      </c>
      <c r="C203" t="inlineStr">
        <is>
          <t>ExampleWorld084</t>
        </is>
      </c>
      <c r="D203" t="inlineStr">
        <is>
          <t>Alliance</t>
        </is>
      </c>
      <c r="E203" t="n">
        <v>2</v>
      </c>
      <c r="F203" t="n">
        <v>9</v>
      </c>
      <c r="G203" t="n">
        <v>5</v>
      </c>
      <c r="H203" s="5" t="n">
        <v>32.968827</v>
      </c>
      <c r="I203" s="5" t="n">
        <v>3.105567</v>
      </c>
      <c r="M203">
        <f>COUNTIFS($B$5:$B$2000,B203,$C$5:$C$2000,C203)+COUNTIFS('PG Roster'!$B$5:$B$2000,B203,'PG Roster'!$C$5:$C$2000,C203)</f>
        <v/>
      </c>
      <c r="N203">
        <f>IFERROR(INDEX('Known Players'!$C$5:$C$500,MATCH(B203&amp;"|"&amp;C203,'Known Players'!$F$5:$F$500,0)),"")</f>
        <v/>
      </c>
      <c r="O203">
        <f>IFERROR(INDEX('Known Players'!$D$5:$D$500,MATCH(B203&amp;"|"&amp;C203,'Known Players'!$F$5:$F$500,0)),"")</f>
        <v/>
      </c>
      <c r="P203">
        <f>IFERROR(INDEX('Known Players'!$G$5:$G$500,MATCH(B203&amp;"|"&amp;C203,'Known Players'!$F$5:$F$500,0)),"")</f>
        <v/>
      </c>
    </row>
    <row r="204">
      <c r="A204" t="n">
        <v>48</v>
      </c>
      <c r="B204" t="inlineStr">
        <is>
          <t>Player0904</t>
        </is>
      </c>
      <c r="C204" t="inlineStr">
        <is>
          <t>ExampleWorld101</t>
        </is>
      </c>
      <c r="D204" t="inlineStr">
        <is>
          <t>Alliance</t>
        </is>
      </c>
      <c r="E204" t="n">
        <v>0</v>
      </c>
      <c r="F204" t="n">
        <v>0</v>
      </c>
      <c r="G204" t="n">
        <v>4</v>
      </c>
      <c r="H204" s="5" t="n">
        <v>4.472827</v>
      </c>
      <c r="I204" s="5" t="n">
        <v>1.554727</v>
      </c>
      <c r="M204">
        <f>COUNTIFS($B$5:$B$2000,B204,$C$5:$C$2000,C204)+COUNTIFS('PG Roster'!$B$5:$B$2000,B204,'PG Roster'!$C$5:$C$2000,C204)</f>
        <v/>
      </c>
      <c r="N204">
        <f>IFERROR(INDEX('Known Players'!$C$5:$C$500,MATCH(B204&amp;"|"&amp;C204,'Known Players'!$F$5:$F$500,0)),"")</f>
        <v/>
      </c>
      <c r="O204">
        <f>IFERROR(INDEX('Known Players'!$D$5:$D$500,MATCH(B204&amp;"|"&amp;C204,'Known Players'!$F$5:$F$500,0)),"")</f>
        <v/>
      </c>
      <c r="P204">
        <f>IFERROR(INDEX('Known Players'!$G$5:$G$500,MATCH(B204&amp;"|"&amp;C204,'Known Players'!$F$5:$F$500,0)),"")</f>
        <v/>
      </c>
    </row>
    <row r="205">
      <c r="A205" t="n">
        <v>48</v>
      </c>
      <c r="B205" t="inlineStr">
        <is>
          <t>Player0060</t>
        </is>
      </c>
      <c r="C205" t="inlineStr">
        <is>
          <t>ExampleWorld038</t>
        </is>
      </c>
      <c r="D205" t="inlineStr">
        <is>
          <t>Alliance</t>
        </is>
      </c>
      <c r="E205" t="n">
        <v>0</v>
      </c>
      <c r="F205" t="n">
        <v>4</v>
      </c>
      <c r="G205" t="n">
        <v>0</v>
      </c>
      <c r="H205" s="5" t="n">
        <v>0</v>
      </c>
      <c r="I205" s="5" t="n">
        <v>0</v>
      </c>
      <c r="K205" t="inlineStr">
        <is>
          <t>Synthetic example</t>
        </is>
      </c>
      <c r="M205">
        <f>COUNTIFS($B$5:$B$2000,B205,$C$5:$C$2000,C205)+COUNTIFS('PG Roster'!$B$5:$B$2000,B205,'PG Roster'!$C$5:$C$2000,C205)</f>
        <v/>
      </c>
      <c r="N205">
        <f>IFERROR(INDEX('Known Players'!$C$5:$C$500,MATCH(B205&amp;"|"&amp;C205,'Known Players'!$F$5:$F$500,0)),"")</f>
        <v/>
      </c>
      <c r="O205">
        <f>IFERROR(INDEX('Known Players'!$D$5:$D$500,MATCH(B205&amp;"|"&amp;C205,'Known Players'!$F$5:$F$500,0)),"")</f>
        <v/>
      </c>
      <c r="P205">
        <f>IFERROR(INDEX('Known Players'!$G$5:$G$500,MATCH(B205&amp;"|"&amp;C205,'Known Players'!$F$5:$F$500,0)),"")</f>
        <v/>
      </c>
    </row>
    <row r="206">
      <c r="A206" t="n">
        <v>49</v>
      </c>
      <c r="B206" t="inlineStr">
        <is>
          <t>Player0888</t>
        </is>
      </c>
      <c r="C206" t="inlineStr">
        <is>
          <t>ExampleWorld192</t>
        </is>
      </c>
      <c r="D206" t="inlineStr">
        <is>
          <t>Horde</t>
        </is>
      </c>
      <c r="E206" t="n">
        <v>4</v>
      </c>
      <c r="F206" t="n">
        <v>2</v>
      </c>
      <c r="G206" t="n">
        <v>0</v>
      </c>
      <c r="H206" s="5" t="n">
        <v>5.842827</v>
      </c>
      <c r="I206" s="5" t="n">
        <v>32.971567</v>
      </c>
      <c r="J206" t="inlineStr">
        <is>
          <t>Carts controlled: 2</t>
        </is>
      </c>
      <c r="M206">
        <f>COUNTIFS($B$5:$B$2000,B206,$C$5:$C$2000,C206)+COUNTIFS('PG Roster'!$B$5:$B$2000,B206,'PG Roster'!$C$5:$C$2000,C206)</f>
        <v/>
      </c>
      <c r="N206">
        <f>IFERROR(INDEX('Known Players'!$C$5:$C$500,MATCH(B206&amp;"|"&amp;C206,'Known Players'!$F$5:$F$500,0)),"")</f>
        <v/>
      </c>
      <c r="O206">
        <f>IFERROR(INDEX('Known Players'!$D$5:$D$500,MATCH(B206&amp;"|"&amp;C206,'Known Players'!$F$5:$F$500,0)),"")</f>
        <v/>
      </c>
      <c r="P206">
        <f>IFERROR(INDEX('Known Players'!$G$5:$G$500,MATCH(B206&amp;"|"&amp;C206,'Known Players'!$F$5:$F$500,0)),"")</f>
        <v/>
      </c>
    </row>
    <row r="207">
      <c r="A207" t="n">
        <v>49</v>
      </c>
      <c r="B207" t="inlineStr">
        <is>
          <t>Mossweaver</t>
        </is>
      </c>
      <c r="C207" t="inlineStr">
        <is>
          <t>exampleworld001</t>
        </is>
      </c>
      <c r="D207" t="inlineStr">
        <is>
          <t>Horde</t>
        </is>
      </c>
      <c r="E207" t="n">
        <v>0</v>
      </c>
      <c r="F207" t="n">
        <v>5</v>
      </c>
      <c r="G207" t="n">
        <v>0</v>
      </c>
      <c r="H207" s="5" t="n">
        <v>1.793107</v>
      </c>
      <c r="I207" s="5" t="n">
        <v>13.818967</v>
      </c>
      <c r="M207">
        <f>COUNTIFS($B$5:$B$2000,B207,$C$5:$C$2000,C207)+COUNTIFS('PG Roster'!$B$5:$B$2000,B207,'PG Roster'!$C$5:$C$2000,C207)</f>
        <v/>
      </c>
      <c r="N207">
        <f>IFERROR(INDEX('Known Players'!$C$5:$C$500,MATCH(B207&amp;"|"&amp;C207,'Known Players'!$F$5:$F$500,0)),"")</f>
        <v/>
      </c>
      <c r="O207">
        <f>IFERROR(INDEX('Known Players'!$D$5:$D$500,MATCH(B207&amp;"|"&amp;C207,'Known Players'!$F$5:$F$500,0)),"")</f>
        <v/>
      </c>
      <c r="P207">
        <f>IFERROR(INDEX('Known Players'!$G$5:$G$500,MATCH(B207&amp;"|"&amp;C207,'Known Players'!$F$5:$F$500,0)),"")</f>
        <v/>
      </c>
    </row>
    <row r="208">
      <c r="A208" t="n">
        <v>49</v>
      </c>
      <c r="B208" t="inlineStr">
        <is>
          <t>Player0333</t>
        </is>
      </c>
      <c r="C208" t="inlineStr">
        <is>
          <t>SandboxRealm</t>
        </is>
      </c>
      <c r="D208" t="inlineStr">
        <is>
          <t>Horde</t>
        </is>
      </c>
      <c r="E208" t="n">
        <v>10</v>
      </c>
      <c r="F208" t="n">
        <v>1</v>
      </c>
      <c r="G208" t="n">
        <v>0</v>
      </c>
      <c r="H208" s="5" t="n">
        <v>17.350827</v>
      </c>
      <c r="I208" s="5" t="n">
        <v>7.763567</v>
      </c>
      <c r="J208" t="inlineStr">
        <is>
          <t>Carts controlled: 1</t>
        </is>
      </c>
      <c r="M208">
        <f>COUNTIFS($B$5:$B$2000,B208,$C$5:$C$2000,C208)+COUNTIFS('PG Roster'!$B$5:$B$2000,B208,'PG Roster'!$C$5:$C$2000,C208)</f>
        <v/>
      </c>
      <c r="N208">
        <f>IFERROR(INDEX('Known Players'!$C$5:$C$500,MATCH(B208&amp;"|"&amp;C208,'Known Players'!$F$5:$F$500,0)),"")</f>
        <v/>
      </c>
      <c r="O208">
        <f>IFERROR(INDEX('Known Players'!$D$5:$D$500,MATCH(B208&amp;"|"&amp;C208,'Known Players'!$F$5:$F$500,0)),"")</f>
        <v/>
      </c>
      <c r="P208">
        <f>IFERROR(INDEX('Known Players'!$G$5:$G$500,MATCH(B208&amp;"|"&amp;C208,'Known Players'!$F$5:$F$500,0)),"")</f>
        <v/>
      </c>
    </row>
    <row r="209">
      <c r="A209" t="n">
        <v>49</v>
      </c>
      <c r="B209" t="inlineStr">
        <is>
          <t>Player0445</t>
        </is>
      </c>
      <c r="C209" t="inlineStr">
        <is>
          <t>ExampleWorld029</t>
        </is>
      </c>
      <c r="D209" t="inlineStr">
        <is>
          <t>Horde</t>
        </is>
      </c>
      <c r="E209" t="n">
        <v>7</v>
      </c>
      <c r="F209" t="n">
        <v>2</v>
      </c>
      <c r="G209" t="n">
        <v>0</v>
      </c>
      <c r="H209" s="5" t="n">
        <v>20.638827</v>
      </c>
      <c r="I209" s="5" t="n">
        <v>7.215567</v>
      </c>
      <c r="J209" t="inlineStr">
        <is>
          <t>Carts controlled: 1</t>
        </is>
      </c>
      <c r="M209">
        <f>COUNTIFS($B$5:$B$2000,B209,$C$5:$C$2000,C209)+COUNTIFS('PG Roster'!$B$5:$B$2000,B209,'PG Roster'!$C$5:$C$2000,C209)</f>
        <v/>
      </c>
      <c r="N209">
        <f>IFERROR(INDEX('Known Players'!$C$5:$C$500,MATCH(B209&amp;"|"&amp;C209,'Known Players'!$F$5:$F$500,0)),"")</f>
        <v/>
      </c>
      <c r="O209">
        <f>IFERROR(INDEX('Known Players'!$D$5:$D$500,MATCH(B209&amp;"|"&amp;C209,'Known Players'!$F$5:$F$500,0)),"")</f>
        <v/>
      </c>
      <c r="P209">
        <f>IFERROR(INDEX('Known Players'!$G$5:$G$500,MATCH(B209&amp;"|"&amp;C209,'Known Players'!$F$5:$F$500,0)),"")</f>
        <v/>
      </c>
    </row>
    <row r="210">
      <c r="A210" t="n">
        <v>49</v>
      </c>
      <c r="B210" t="inlineStr">
        <is>
          <t>Player0316</t>
        </is>
      </c>
      <c r="C210" t="inlineStr">
        <is>
          <t>ExampleWorld026</t>
        </is>
      </c>
      <c r="D210" t="inlineStr">
        <is>
          <t>Horde</t>
        </is>
      </c>
      <c r="E210" t="n">
        <v>5</v>
      </c>
      <c r="F210" t="n">
        <v>4</v>
      </c>
      <c r="G210" t="n">
        <v>0</v>
      </c>
      <c r="H210" s="5" t="n">
        <v>32.968827</v>
      </c>
      <c r="I210" s="5" t="n">
        <v>5.571567</v>
      </c>
      <c r="J210" t="inlineStr">
        <is>
          <t>Carts controlled: 1</t>
        </is>
      </c>
      <c r="M210">
        <f>COUNTIFS($B$5:$B$2000,B210,$C$5:$C$2000,C210)+COUNTIFS('PG Roster'!$B$5:$B$2000,B210,'PG Roster'!$C$5:$C$2000,C210)</f>
        <v/>
      </c>
      <c r="N210">
        <f>IFERROR(INDEX('Known Players'!$C$5:$C$500,MATCH(B210&amp;"|"&amp;C210,'Known Players'!$F$5:$F$500,0)),"")</f>
        <v/>
      </c>
      <c r="O210">
        <f>IFERROR(INDEX('Known Players'!$D$5:$D$500,MATCH(B210&amp;"|"&amp;C210,'Known Players'!$F$5:$F$500,0)),"")</f>
        <v/>
      </c>
      <c r="P210">
        <f>IFERROR(INDEX('Known Players'!$G$5:$G$500,MATCH(B210&amp;"|"&amp;C210,'Known Players'!$F$5:$F$500,0)),"")</f>
        <v/>
      </c>
    </row>
    <row r="211">
      <c r="A211" t="n">
        <v>49</v>
      </c>
      <c r="B211" t="inlineStr">
        <is>
          <t>Snowflare</t>
        </is>
      </c>
      <c r="C211" t="inlineStr">
        <is>
          <t>SandboxRealm</t>
        </is>
      </c>
      <c r="D211" t="inlineStr">
        <is>
          <t>Horde</t>
        </is>
      </c>
      <c r="E211" t="n">
        <v>8</v>
      </c>
      <c r="F211" t="n">
        <v>7</v>
      </c>
      <c r="G211" t="n">
        <v>4</v>
      </c>
      <c r="H211" s="5" t="n">
        <v>21.460827</v>
      </c>
      <c r="I211" s="5" t="n">
        <v>5.571567</v>
      </c>
      <c r="M211">
        <f>COUNTIFS($B$5:$B$2000,B211,$C$5:$C$2000,C211)+COUNTIFS('PG Roster'!$B$5:$B$2000,B211,'PG Roster'!$C$5:$C$2000,C211)</f>
        <v/>
      </c>
      <c r="N211">
        <f>IFERROR(INDEX('Known Players'!$C$5:$C$500,MATCH(B211&amp;"|"&amp;C211,'Known Players'!$F$5:$F$500,0)),"")</f>
        <v/>
      </c>
      <c r="O211">
        <f>IFERROR(INDEX('Known Players'!$D$5:$D$500,MATCH(B211&amp;"|"&amp;C211,'Known Players'!$F$5:$F$500,0)),"")</f>
        <v/>
      </c>
      <c r="P211">
        <f>IFERROR(INDEX('Known Players'!$G$5:$G$500,MATCH(B211&amp;"|"&amp;C211,'Known Players'!$F$5:$F$500,0)),"")</f>
        <v/>
      </c>
    </row>
    <row r="212">
      <c r="A212" t="n">
        <v>49</v>
      </c>
      <c r="B212" t="inlineStr">
        <is>
          <t>Player0839</t>
        </is>
      </c>
      <c r="C212" t="inlineStr">
        <is>
          <t>SandboxRealm</t>
        </is>
      </c>
      <c r="D212" t="inlineStr">
        <is>
          <t>Horde</t>
        </is>
      </c>
      <c r="E212" t="n">
        <v>10</v>
      </c>
      <c r="F212" t="n">
        <v>9</v>
      </c>
      <c r="G212" t="n">
        <v>7</v>
      </c>
      <c r="H212" s="5" t="n">
        <v>9.130827</v>
      </c>
      <c r="I212" s="5" t="n">
        <v>4.201567</v>
      </c>
      <c r="M212">
        <f>COUNTIFS($B$5:$B$2000,B212,$C$5:$C$2000,C212)+COUNTIFS('PG Roster'!$B$5:$B$2000,B212,'PG Roster'!$C$5:$C$2000,C212)</f>
        <v/>
      </c>
      <c r="N212">
        <f>IFERROR(INDEX('Known Players'!$C$5:$C$500,MATCH(B212&amp;"|"&amp;C212,'Known Players'!$F$5:$F$500,0)),"")</f>
        <v/>
      </c>
      <c r="O212">
        <f>IFERROR(INDEX('Known Players'!$D$5:$D$500,MATCH(B212&amp;"|"&amp;C212,'Known Players'!$F$5:$F$500,0)),"")</f>
        <v/>
      </c>
      <c r="P212">
        <f>IFERROR(INDEX('Known Players'!$G$5:$G$500,MATCH(B212&amp;"|"&amp;C212,'Known Players'!$F$5:$F$500,0)),"")</f>
        <v/>
      </c>
    </row>
    <row r="213">
      <c r="A213" t="n">
        <v>49</v>
      </c>
      <c r="B213" t="inlineStr">
        <is>
          <t>Emberguard</t>
        </is>
      </c>
      <c r="C213" t="inlineStr">
        <is>
          <t>SandboxRealm</t>
        </is>
      </c>
      <c r="D213" t="inlineStr">
        <is>
          <t>Horde</t>
        </is>
      </c>
      <c r="E213" t="n">
        <v>7</v>
      </c>
      <c r="F213" t="n">
        <v>10</v>
      </c>
      <c r="G213" t="n">
        <v>0</v>
      </c>
      <c r="H213" s="5" t="n">
        <v>14.884827</v>
      </c>
      <c r="I213" s="5" t="n">
        <v>2.513727</v>
      </c>
      <c r="M213">
        <f>COUNTIFS($B$5:$B$2000,B213,$C$5:$C$2000,C213)+COUNTIFS('PG Roster'!$B$5:$B$2000,B213,'PG Roster'!$C$5:$C$2000,C213)</f>
        <v/>
      </c>
      <c r="N213">
        <f>IFERROR(INDEX('Known Players'!$C$5:$C$500,MATCH(B213&amp;"|"&amp;C213,'Known Players'!$F$5:$F$500,0)),"")</f>
        <v/>
      </c>
      <c r="O213">
        <f>IFERROR(INDEX('Known Players'!$D$5:$D$500,MATCH(B213&amp;"|"&amp;C213,'Known Players'!$F$5:$F$500,0)),"")</f>
        <v/>
      </c>
      <c r="P213">
        <f>IFERROR(INDEX('Known Players'!$G$5:$G$500,MATCH(B213&amp;"|"&amp;C213,'Known Players'!$F$5:$F$500,0)),"")</f>
        <v/>
      </c>
    </row>
    <row r="214">
      <c r="A214" t="n">
        <v>49</v>
      </c>
      <c r="B214" t="inlineStr">
        <is>
          <t>Player0134</t>
        </is>
      </c>
      <c r="C214" t="inlineStr">
        <is>
          <t>PracticeRealm</t>
        </is>
      </c>
      <c r="D214" t="inlineStr">
        <is>
          <t>Horde</t>
        </is>
      </c>
      <c r="E214" t="n">
        <v>5</v>
      </c>
      <c r="F214" t="n">
        <v>9</v>
      </c>
      <c r="G214" t="n">
        <v>4</v>
      </c>
      <c r="H214" s="5" t="n">
        <v>11.322827</v>
      </c>
      <c r="I214" s="5" t="n">
        <v>0.390227</v>
      </c>
      <c r="M214">
        <f>COUNTIFS($B$5:$B$2000,B214,$C$5:$C$2000,C214)+COUNTIFS('PG Roster'!$B$5:$B$2000,B214,'PG Roster'!$C$5:$C$2000,C214)</f>
        <v/>
      </c>
      <c r="N214">
        <f>IFERROR(INDEX('Known Players'!$C$5:$C$500,MATCH(B214&amp;"|"&amp;C214,'Known Players'!$F$5:$F$500,0)),"")</f>
        <v/>
      </c>
      <c r="O214">
        <f>IFERROR(INDEX('Known Players'!$D$5:$D$500,MATCH(B214&amp;"|"&amp;C214,'Known Players'!$F$5:$F$500,0)),"")</f>
        <v/>
      </c>
      <c r="P214">
        <f>IFERROR(INDEX('Known Players'!$G$5:$G$500,MATCH(B214&amp;"|"&amp;C214,'Known Players'!$F$5:$F$500,0)),"")</f>
        <v/>
      </c>
    </row>
    <row r="215">
      <c r="A215" t="n">
        <v>49</v>
      </c>
      <c r="B215" t="inlineStr">
        <is>
          <t>Thornpaw</t>
        </is>
      </c>
      <c r="C215" t="inlineStr">
        <is>
          <t>SandboxRealm</t>
        </is>
      </c>
      <c r="D215" t="inlineStr">
        <is>
          <t>Horde</t>
        </is>
      </c>
      <c r="E215" t="n">
        <v>0</v>
      </c>
      <c r="F215" t="n">
        <v>3</v>
      </c>
      <c r="G215" t="n">
        <v>0</v>
      </c>
      <c r="H215" s="5" t="n">
        <v>2.236987</v>
      </c>
      <c r="I215" s="5" t="n">
        <v>0.239527</v>
      </c>
      <c r="J215" t="inlineStr">
        <is>
          <t>Crystal captures: 4</t>
        </is>
      </c>
      <c r="M215">
        <f>COUNTIFS($B$5:$B$2000,B215,$C$5:$C$2000,C215)+COUNTIFS('PG Roster'!$B$5:$B$2000,B215,'PG Roster'!$C$5:$C$2000,C215)</f>
        <v/>
      </c>
      <c r="N215">
        <f>IFERROR(INDEX('Known Players'!$C$5:$C$500,MATCH(B215&amp;"|"&amp;C215,'Known Players'!$F$5:$F$500,0)),"")</f>
        <v/>
      </c>
      <c r="O215">
        <f>IFERROR(INDEX('Known Players'!$D$5:$D$500,MATCH(B215&amp;"|"&amp;C215,'Known Players'!$F$5:$F$500,0)),"")</f>
        <v/>
      </c>
      <c r="P215">
        <f>IFERROR(INDEX('Known Players'!$G$5:$G$500,MATCH(B215&amp;"|"&amp;C215,'Known Players'!$F$5:$F$500,0)),"")</f>
        <v/>
      </c>
    </row>
    <row r="216">
      <c r="A216" t="n">
        <v>49</v>
      </c>
      <c r="B216" t="inlineStr">
        <is>
          <t>Player0723</t>
        </is>
      </c>
      <c r="C216" t="inlineStr">
        <is>
          <t>ExampleWorld019</t>
        </is>
      </c>
      <c r="D216" t="inlineStr">
        <is>
          <t>Alliance</t>
        </is>
      </c>
      <c r="E216" t="n">
        <v>0</v>
      </c>
      <c r="F216" t="n">
        <v>10</v>
      </c>
      <c r="G216" t="n">
        <v>7</v>
      </c>
      <c r="H216" s="5" t="n">
        <v>1.757487</v>
      </c>
      <c r="I216" s="5" t="n">
        <v>26.121567</v>
      </c>
      <c r="M216">
        <f>COUNTIFS($B$5:$B$2000,B216,$C$5:$C$2000,C216)+COUNTIFS('PG Roster'!$B$5:$B$2000,B216,'PG Roster'!$C$5:$C$2000,C216)</f>
        <v/>
      </c>
      <c r="N216">
        <f>IFERROR(INDEX('Known Players'!$C$5:$C$500,MATCH(B216&amp;"|"&amp;C216,'Known Players'!$F$5:$F$500,0)),"")</f>
        <v/>
      </c>
      <c r="O216">
        <f>IFERROR(INDEX('Known Players'!$D$5:$D$500,MATCH(B216&amp;"|"&amp;C216,'Known Players'!$F$5:$F$500,0)),"")</f>
        <v/>
      </c>
      <c r="P216">
        <f>IFERROR(INDEX('Known Players'!$G$5:$G$500,MATCH(B216&amp;"|"&amp;C216,'Known Players'!$F$5:$F$500,0)),"")</f>
        <v/>
      </c>
    </row>
    <row r="217">
      <c r="A217" t="n">
        <v>49</v>
      </c>
      <c r="B217" t="inlineStr">
        <is>
          <t>Player0348</t>
        </is>
      </c>
      <c r="C217" t="inlineStr">
        <is>
          <t>ExampleWorld130</t>
        </is>
      </c>
      <c r="D217" t="inlineStr">
        <is>
          <t>Alliance</t>
        </is>
      </c>
      <c r="E217" t="n">
        <v>0</v>
      </c>
      <c r="F217" t="n">
        <v>10</v>
      </c>
      <c r="G217" t="n">
        <v>10</v>
      </c>
      <c r="H217" s="5" t="n">
        <v>0.551887</v>
      </c>
      <c r="I217" s="5" t="n">
        <v>10.777567</v>
      </c>
      <c r="M217">
        <f>COUNTIFS($B$5:$B$2000,B217,$C$5:$C$2000,C217)+COUNTIFS('PG Roster'!$B$5:$B$2000,B217,'PG Roster'!$C$5:$C$2000,C217)</f>
        <v/>
      </c>
      <c r="N217">
        <f>IFERROR(INDEX('Known Players'!$C$5:$C$500,MATCH(B217&amp;"|"&amp;C217,'Known Players'!$F$5:$F$500,0)),"")</f>
        <v/>
      </c>
      <c r="O217">
        <f>IFERROR(INDEX('Known Players'!$D$5:$D$500,MATCH(B217&amp;"|"&amp;C217,'Known Players'!$F$5:$F$500,0)),"")</f>
        <v/>
      </c>
      <c r="P217">
        <f>IFERROR(INDEX('Known Players'!$G$5:$G$500,MATCH(B217&amp;"|"&amp;C217,'Known Players'!$F$5:$F$500,0)),"")</f>
        <v/>
      </c>
    </row>
    <row r="218">
      <c r="A218" t="n">
        <v>49</v>
      </c>
      <c r="B218" t="inlineStr">
        <is>
          <t>Player0891</t>
        </is>
      </c>
      <c r="C218" t="inlineStr">
        <is>
          <t>ExampleWorld133</t>
        </is>
      </c>
      <c r="D218" t="inlineStr">
        <is>
          <t>Alliance</t>
        </is>
      </c>
      <c r="E218" t="n">
        <v>0</v>
      </c>
      <c r="F218" t="n">
        <v>4</v>
      </c>
      <c r="G218" t="n">
        <v>7</v>
      </c>
      <c r="H218" s="5" t="n">
        <v>9.130827</v>
      </c>
      <c r="I218" s="5" t="n">
        <v>7.763567</v>
      </c>
      <c r="M218">
        <f>COUNTIFS($B$5:$B$2000,B218,$C$5:$C$2000,C218)+COUNTIFS('PG Roster'!$B$5:$B$2000,B218,'PG Roster'!$C$5:$C$2000,C218)</f>
        <v/>
      </c>
      <c r="N218">
        <f>IFERROR(INDEX('Known Players'!$C$5:$C$500,MATCH(B218&amp;"|"&amp;C218,'Known Players'!$F$5:$F$500,0)),"")</f>
        <v/>
      </c>
      <c r="O218">
        <f>IFERROR(INDEX('Known Players'!$D$5:$D$500,MATCH(B218&amp;"|"&amp;C218,'Known Players'!$F$5:$F$500,0)),"")</f>
        <v/>
      </c>
      <c r="P218">
        <f>IFERROR(INDEX('Known Players'!$G$5:$G$500,MATCH(B218&amp;"|"&amp;C218,'Known Players'!$F$5:$F$500,0)),"")</f>
        <v/>
      </c>
    </row>
    <row r="219">
      <c r="A219" t="n">
        <v>49</v>
      </c>
      <c r="B219" t="inlineStr">
        <is>
          <t>Player0172</t>
        </is>
      </c>
      <c r="C219" t="inlineStr">
        <is>
          <t>ExampleWorld117</t>
        </is>
      </c>
      <c r="D219" t="inlineStr">
        <is>
          <t>Alliance</t>
        </is>
      </c>
      <c r="E219" t="n">
        <v>0</v>
      </c>
      <c r="F219" t="n">
        <v>10</v>
      </c>
      <c r="G219" t="n">
        <v>10</v>
      </c>
      <c r="H219" s="5" t="n">
        <v>22.282827</v>
      </c>
      <c r="I219" s="5" t="n">
        <v>4.475567</v>
      </c>
      <c r="M219">
        <f>COUNTIFS($B$5:$B$2000,B219,$C$5:$C$2000,C219)+COUNTIFS('PG Roster'!$B$5:$B$2000,B219,'PG Roster'!$C$5:$C$2000,C219)</f>
        <v/>
      </c>
      <c r="N219">
        <f>IFERROR(INDEX('Known Players'!$C$5:$C$500,MATCH(B219&amp;"|"&amp;C219,'Known Players'!$F$5:$F$500,0)),"")</f>
        <v/>
      </c>
      <c r="O219">
        <f>IFERROR(INDEX('Known Players'!$D$5:$D$500,MATCH(B219&amp;"|"&amp;C219,'Known Players'!$F$5:$F$500,0)),"")</f>
        <v/>
      </c>
      <c r="P219">
        <f>IFERROR(INDEX('Known Players'!$G$5:$G$500,MATCH(B219&amp;"|"&amp;C219,'Known Players'!$F$5:$F$500,0)),"")</f>
        <v/>
      </c>
    </row>
    <row r="220">
      <c r="A220" t="n">
        <v>49</v>
      </c>
      <c r="B220" t="inlineStr">
        <is>
          <t>Player0460</t>
        </is>
      </c>
      <c r="C220" t="inlineStr">
        <is>
          <t>ExampleWorld030</t>
        </is>
      </c>
      <c r="D220" t="inlineStr">
        <is>
          <t>Alliance</t>
        </is>
      </c>
      <c r="E220" t="n">
        <v>4</v>
      </c>
      <c r="F220" t="n">
        <v>10</v>
      </c>
      <c r="G220" t="n">
        <v>10</v>
      </c>
      <c r="H220" s="5" t="n">
        <v>3.924827</v>
      </c>
      <c r="I220" s="5" t="n">
        <v>2.831567</v>
      </c>
      <c r="J220" t="inlineStr">
        <is>
          <t>Carts controlled: 1</t>
        </is>
      </c>
      <c r="M220">
        <f>COUNTIFS($B$5:$B$2000,B220,$C$5:$C$2000,C220)+COUNTIFS('PG Roster'!$B$5:$B$2000,B220,'PG Roster'!$C$5:$C$2000,C220)</f>
        <v/>
      </c>
      <c r="N220">
        <f>IFERROR(INDEX('Known Players'!$C$5:$C$500,MATCH(B220&amp;"|"&amp;C220,'Known Players'!$F$5:$F$500,0)),"")</f>
        <v/>
      </c>
      <c r="O220">
        <f>IFERROR(INDEX('Known Players'!$D$5:$D$500,MATCH(B220&amp;"|"&amp;C220,'Known Players'!$F$5:$F$500,0)),"")</f>
        <v/>
      </c>
      <c r="P220">
        <f>IFERROR(INDEX('Known Players'!$G$5:$G$500,MATCH(B220&amp;"|"&amp;C220,'Known Players'!$F$5:$F$500,0)),"")</f>
        <v/>
      </c>
    </row>
    <row r="221">
      <c r="A221" t="n">
        <v>49</v>
      </c>
      <c r="B221" t="inlineStr">
        <is>
          <t>Player0907</t>
        </is>
      </c>
      <c r="C221" t="inlineStr">
        <is>
          <t>ExampleWorld128</t>
        </is>
      </c>
      <c r="D221" t="inlineStr">
        <is>
          <t>Alliance</t>
        </is>
      </c>
      <c r="E221" t="n">
        <v>7</v>
      </c>
      <c r="F221" t="n">
        <v>10</v>
      </c>
      <c r="G221" t="n">
        <v>7</v>
      </c>
      <c r="H221" s="5" t="n">
        <v>19.542827</v>
      </c>
      <c r="I221" s="5" t="n">
        <v>2.678127</v>
      </c>
      <c r="M221">
        <f>COUNTIFS($B$5:$B$2000,B221,$C$5:$C$2000,C221)+COUNTIFS('PG Roster'!$B$5:$B$2000,B221,'PG Roster'!$C$5:$C$2000,C221)</f>
        <v/>
      </c>
      <c r="N221">
        <f>IFERROR(INDEX('Known Players'!$C$5:$C$500,MATCH(B221&amp;"|"&amp;C221,'Known Players'!$F$5:$F$500,0)),"")</f>
        <v/>
      </c>
      <c r="O221">
        <f>IFERROR(INDEX('Known Players'!$D$5:$D$500,MATCH(B221&amp;"|"&amp;C221,'Known Players'!$F$5:$F$500,0)),"")</f>
        <v/>
      </c>
      <c r="P221">
        <f>IFERROR(INDEX('Known Players'!$G$5:$G$500,MATCH(B221&amp;"|"&amp;C221,'Known Players'!$F$5:$F$500,0)),"")</f>
        <v/>
      </c>
    </row>
    <row r="222">
      <c r="A222" t="n">
        <v>49</v>
      </c>
      <c r="B222" t="inlineStr">
        <is>
          <t>Player0793</t>
        </is>
      </c>
      <c r="C222" t="inlineStr">
        <is>
          <t>SandboxRealm</t>
        </is>
      </c>
      <c r="D222" t="inlineStr">
        <is>
          <t>Alliance</t>
        </is>
      </c>
      <c r="E222" t="n">
        <v>4</v>
      </c>
      <c r="F222" t="n">
        <v>10</v>
      </c>
      <c r="G222" t="n">
        <v>2</v>
      </c>
      <c r="H222" s="5" t="n">
        <v>16.528827</v>
      </c>
      <c r="I222" s="5" t="n">
        <v>2.368507</v>
      </c>
      <c r="M222">
        <f>COUNTIFS($B$5:$B$2000,B222,$C$5:$C$2000,C222)+COUNTIFS('PG Roster'!$B$5:$B$2000,B222,'PG Roster'!$C$5:$C$2000,C222)</f>
        <v/>
      </c>
      <c r="N222">
        <f>IFERROR(INDEX('Known Players'!$C$5:$C$500,MATCH(B222&amp;"|"&amp;C222,'Known Players'!$F$5:$F$500,0)),"")</f>
        <v/>
      </c>
      <c r="O222">
        <f>IFERROR(INDEX('Known Players'!$D$5:$D$500,MATCH(B222&amp;"|"&amp;C222,'Known Players'!$F$5:$F$500,0)),"")</f>
        <v/>
      </c>
      <c r="P222">
        <f>IFERROR(INDEX('Known Players'!$G$5:$G$500,MATCH(B222&amp;"|"&amp;C222,'Known Players'!$F$5:$F$500,0)),"")</f>
        <v/>
      </c>
    </row>
    <row r="223">
      <c r="A223" t="n">
        <v>49</v>
      </c>
      <c r="B223" t="inlineStr">
        <is>
          <t>Player0512</t>
        </is>
      </c>
      <c r="C223" t="inlineStr">
        <is>
          <t>ExampleWorld150</t>
        </is>
      </c>
      <c r="D223" t="inlineStr">
        <is>
          <t>Alliance</t>
        </is>
      </c>
      <c r="E223" t="n">
        <v>0</v>
      </c>
      <c r="F223" t="n">
        <v>7</v>
      </c>
      <c r="G223" t="n">
        <v>10</v>
      </c>
      <c r="H223" s="5" t="n">
        <v>6.938827</v>
      </c>
      <c r="I223" s="5" t="n">
        <v>2.184927</v>
      </c>
      <c r="M223">
        <f>COUNTIFS($B$5:$B$2000,B223,$C$5:$C$2000,C223)+COUNTIFS('PG Roster'!$B$5:$B$2000,B223,'PG Roster'!$C$5:$C$2000,C223)</f>
        <v/>
      </c>
      <c r="N223">
        <f>IFERROR(INDEX('Known Players'!$C$5:$C$500,MATCH(B223&amp;"|"&amp;C223,'Known Players'!$F$5:$F$500,0)),"")</f>
        <v/>
      </c>
      <c r="O223">
        <f>IFERROR(INDEX('Known Players'!$D$5:$D$500,MATCH(B223&amp;"|"&amp;C223,'Known Players'!$F$5:$F$500,0)),"")</f>
        <v/>
      </c>
      <c r="P223">
        <f>IFERROR(INDEX('Known Players'!$G$5:$G$500,MATCH(B223&amp;"|"&amp;C223,'Known Players'!$F$5:$F$500,0)),"")</f>
        <v/>
      </c>
    </row>
    <row r="224">
      <c r="A224" t="n">
        <v>49</v>
      </c>
      <c r="B224" t="inlineStr">
        <is>
          <t>Player0514</t>
        </is>
      </c>
      <c r="C224" t="inlineStr">
        <is>
          <t>ExampleWorld133</t>
        </is>
      </c>
      <c r="D224" t="inlineStr">
        <is>
          <t>Alliance</t>
        </is>
      </c>
      <c r="E224" t="n">
        <v>0</v>
      </c>
      <c r="F224" t="n">
        <v>10</v>
      </c>
      <c r="G224" t="n">
        <v>5</v>
      </c>
      <c r="H224" s="5" t="n">
        <v>13.240827</v>
      </c>
      <c r="I224" s="5" t="n">
        <v>2.053407</v>
      </c>
      <c r="M224">
        <f>COUNTIFS($B$5:$B$2000,B224,$C$5:$C$2000,C224)+COUNTIFS('PG Roster'!$B$5:$B$2000,B224,'PG Roster'!$C$5:$C$2000,C224)</f>
        <v/>
      </c>
      <c r="N224">
        <f>IFERROR(INDEX('Known Players'!$C$5:$C$500,MATCH(B224&amp;"|"&amp;C224,'Known Players'!$F$5:$F$500,0)),"")</f>
        <v/>
      </c>
      <c r="O224">
        <f>IFERROR(INDEX('Known Players'!$D$5:$D$500,MATCH(B224&amp;"|"&amp;C224,'Known Players'!$F$5:$F$500,0)),"")</f>
        <v/>
      </c>
      <c r="P224">
        <f>IFERROR(INDEX('Known Players'!$G$5:$G$500,MATCH(B224&amp;"|"&amp;C224,'Known Players'!$F$5:$F$500,0)),"")</f>
        <v/>
      </c>
    </row>
    <row r="225">
      <c r="A225" t="n">
        <v>49</v>
      </c>
      <c r="B225" t="inlineStr">
        <is>
          <t>Player0644</t>
        </is>
      </c>
      <c r="C225" t="inlineStr">
        <is>
          <t>ExampleWorld049</t>
        </is>
      </c>
      <c r="D225" t="inlineStr">
        <is>
          <t>Alliance</t>
        </is>
      </c>
      <c r="E225" t="n">
        <v>0</v>
      </c>
      <c r="F225" t="n">
        <v>2</v>
      </c>
      <c r="G225" t="n">
        <v>0</v>
      </c>
      <c r="H225" s="5" t="n">
        <v>0</v>
      </c>
      <c r="I225" s="5" t="n">
        <v>0</v>
      </c>
      <c r="K225" t="inlineStr">
        <is>
          <t>Synthetic example</t>
        </is>
      </c>
      <c r="M225">
        <f>COUNTIFS($B$5:$B$2000,B225,$C$5:$C$2000,C225)+COUNTIFS('PG Roster'!$B$5:$B$2000,B225,'PG Roster'!$C$5:$C$2000,C225)</f>
        <v/>
      </c>
      <c r="N225">
        <f>IFERROR(INDEX('Known Players'!$C$5:$C$500,MATCH(B225&amp;"|"&amp;C225,'Known Players'!$F$5:$F$500,0)),"")</f>
        <v/>
      </c>
      <c r="O225">
        <f>IFERROR(INDEX('Known Players'!$D$5:$D$500,MATCH(B225&amp;"|"&amp;C225,'Known Players'!$F$5:$F$500,0)),"")</f>
        <v/>
      </c>
      <c r="P225">
        <f>IFERROR(INDEX('Known Players'!$G$5:$G$500,MATCH(B225&amp;"|"&amp;C225,'Known Players'!$F$5:$F$500,0)),"")</f>
        <v/>
      </c>
    </row>
    <row r="226">
      <c r="A226" t="n">
        <v>50</v>
      </c>
      <c r="B226" t="inlineStr">
        <is>
          <t>Mossweaver</t>
        </is>
      </c>
      <c r="C226" t="inlineStr">
        <is>
          <t>exampleworld001</t>
        </is>
      </c>
      <c r="D226" t="inlineStr">
        <is>
          <t>Horde</t>
        </is>
      </c>
      <c r="E226" t="n">
        <v>0</v>
      </c>
      <c r="F226" t="n">
        <v>2</v>
      </c>
      <c r="G226" t="n">
        <v>7</v>
      </c>
      <c r="H226" s="5" t="n">
        <v>3.404227</v>
      </c>
      <c r="I226" s="5" t="n">
        <v>102.266167</v>
      </c>
      <c r="M226">
        <f>COUNTIFS($B$5:$B$2000,B226,$C$5:$C$2000,C226)+COUNTIFS('PG Roster'!$B$5:$B$2000,B226,'PG Roster'!$C$5:$C$2000,C226)</f>
        <v/>
      </c>
      <c r="N226">
        <f>IFERROR(INDEX('Known Players'!$C$5:$C$500,MATCH(B226&amp;"|"&amp;C226,'Known Players'!$F$5:$F$500,0)),"")</f>
        <v/>
      </c>
      <c r="O226">
        <f>IFERROR(INDEX('Known Players'!$D$5:$D$500,MATCH(B226&amp;"|"&amp;C226,'Known Players'!$F$5:$F$500,0)),"")</f>
        <v/>
      </c>
      <c r="P226">
        <f>IFERROR(INDEX('Known Players'!$G$5:$G$500,MATCH(B226&amp;"|"&amp;C226,'Known Players'!$F$5:$F$500,0)),"")</f>
        <v/>
      </c>
    </row>
    <row r="227">
      <c r="A227" t="n">
        <v>50</v>
      </c>
      <c r="B227" t="inlineStr">
        <is>
          <t>Player0952</t>
        </is>
      </c>
      <c r="C227" t="inlineStr">
        <is>
          <t>ExampleWorld002</t>
        </is>
      </c>
      <c r="D227" t="inlineStr">
        <is>
          <t>Horde</t>
        </is>
      </c>
      <c r="E227" t="n">
        <v>0</v>
      </c>
      <c r="F227" t="n">
        <v>10</v>
      </c>
      <c r="G227" t="n">
        <v>2</v>
      </c>
      <c r="H227" s="5" t="n">
        <v>5.568827</v>
      </c>
      <c r="I227" s="5" t="n">
        <v>71.33156700000001</v>
      </c>
      <c r="M227">
        <f>COUNTIFS($B$5:$B$2000,B227,$C$5:$C$2000,C227)+COUNTIFS('PG Roster'!$B$5:$B$2000,B227,'PG Roster'!$C$5:$C$2000,C227)</f>
        <v/>
      </c>
      <c r="N227">
        <f>IFERROR(INDEX('Known Players'!$C$5:$C$500,MATCH(B227&amp;"|"&amp;C227,'Known Players'!$F$5:$F$500,0)),"")</f>
        <v/>
      </c>
      <c r="O227">
        <f>IFERROR(INDEX('Known Players'!$D$5:$D$500,MATCH(B227&amp;"|"&amp;C227,'Known Players'!$F$5:$F$500,0)),"")</f>
        <v/>
      </c>
      <c r="P227">
        <f>IFERROR(INDEX('Known Players'!$G$5:$G$500,MATCH(B227&amp;"|"&amp;C227,'Known Players'!$F$5:$F$500,0)),"")</f>
        <v/>
      </c>
    </row>
    <row r="228">
      <c r="A228" t="n">
        <v>50</v>
      </c>
      <c r="B228" t="inlineStr">
        <is>
          <t>Player0284</t>
        </is>
      </c>
      <c r="C228" t="inlineStr">
        <is>
          <t>ExampleWorld175</t>
        </is>
      </c>
      <c r="D228" t="inlineStr">
        <is>
          <t>Horde</t>
        </is>
      </c>
      <c r="E228" t="n">
        <v>4</v>
      </c>
      <c r="F228" t="n">
        <v>7</v>
      </c>
      <c r="G228" t="n">
        <v>8</v>
      </c>
      <c r="H228" s="5" t="n">
        <v>57.628827</v>
      </c>
      <c r="I228" s="5" t="n">
        <v>11.325567</v>
      </c>
      <c r="M228">
        <f>COUNTIFS($B$5:$B$2000,B228,$C$5:$C$2000,C228)+COUNTIFS('PG Roster'!$B$5:$B$2000,B228,'PG Roster'!$C$5:$C$2000,C228)</f>
        <v/>
      </c>
      <c r="N228">
        <f>IFERROR(INDEX('Known Players'!$C$5:$C$500,MATCH(B228&amp;"|"&amp;C228,'Known Players'!$F$5:$F$500,0)),"")</f>
        <v/>
      </c>
      <c r="O228">
        <f>IFERROR(INDEX('Known Players'!$D$5:$D$500,MATCH(B228&amp;"|"&amp;C228,'Known Players'!$F$5:$F$500,0)),"")</f>
        <v/>
      </c>
      <c r="P228">
        <f>IFERROR(INDEX('Known Players'!$G$5:$G$500,MATCH(B228&amp;"|"&amp;C228,'Known Players'!$F$5:$F$500,0)),"")</f>
        <v/>
      </c>
    </row>
    <row r="229">
      <c r="A229" t="n">
        <v>50</v>
      </c>
      <c r="B229" t="inlineStr">
        <is>
          <t>Emberguard</t>
        </is>
      </c>
      <c r="C229" t="inlineStr">
        <is>
          <t>SandboxRealm</t>
        </is>
      </c>
      <c r="D229" t="inlineStr">
        <is>
          <t>Horde</t>
        </is>
      </c>
      <c r="E229" t="n">
        <v>7</v>
      </c>
      <c r="F229" t="n">
        <v>2</v>
      </c>
      <c r="G229" t="n">
        <v>10</v>
      </c>
      <c r="H229" s="5" t="n">
        <v>52.148827</v>
      </c>
      <c r="I229" s="5" t="n">
        <v>10.777567</v>
      </c>
      <c r="M229">
        <f>COUNTIFS($B$5:$B$2000,B229,$C$5:$C$2000,C229)+COUNTIFS('PG Roster'!$B$5:$B$2000,B229,'PG Roster'!$C$5:$C$2000,C229)</f>
        <v/>
      </c>
      <c r="N229">
        <f>IFERROR(INDEX('Known Players'!$C$5:$C$500,MATCH(B229&amp;"|"&amp;C229,'Known Players'!$F$5:$F$500,0)),"")</f>
        <v/>
      </c>
      <c r="O229">
        <f>IFERROR(INDEX('Known Players'!$D$5:$D$500,MATCH(B229&amp;"|"&amp;C229,'Known Players'!$F$5:$F$500,0)),"")</f>
        <v/>
      </c>
      <c r="P229">
        <f>IFERROR(INDEX('Known Players'!$G$5:$G$500,MATCH(B229&amp;"|"&amp;C229,'Known Players'!$F$5:$F$500,0)),"")</f>
        <v/>
      </c>
    </row>
    <row r="230">
      <c r="A230" t="n">
        <v>50</v>
      </c>
      <c r="B230" t="inlineStr">
        <is>
          <t>Player0491</t>
        </is>
      </c>
      <c r="C230" t="inlineStr">
        <is>
          <t>ExampleWorld115</t>
        </is>
      </c>
      <c r="D230" t="inlineStr">
        <is>
          <t>Horde</t>
        </is>
      </c>
      <c r="E230" t="n">
        <v>4</v>
      </c>
      <c r="F230" t="n">
        <v>1</v>
      </c>
      <c r="G230" t="n">
        <v>3</v>
      </c>
      <c r="H230" s="5" t="n">
        <v>25.296827</v>
      </c>
      <c r="I230" s="5" t="n">
        <v>8.859567</v>
      </c>
      <c r="M230">
        <f>COUNTIFS($B$5:$B$2000,B230,$C$5:$C$2000,C230)+COUNTIFS('PG Roster'!$B$5:$B$2000,B230,'PG Roster'!$C$5:$C$2000,C230)</f>
        <v/>
      </c>
      <c r="N230">
        <f>IFERROR(INDEX('Known Players'!$C$5:$C$500,MATCH(B230&amp;"|"&amp;C230,'Known Players'!$F$5:$F$500,0)),"")</f>
        <v/>
      </c>
      <c r="O230">
        <f>IFERROR(INDEX('Known Players'!$D$5:$D$500,MATCH(B230&amp;"|"&amp;C230,'Known Players'!$F$5:$F$500,0)),"")</f>
        <v/>
      </c>
      <c r="P230">
        <f>IFERROR(INDEX('Known Players'!$G$5:$G$500,MATCH(B230&amp;"|"&amp;C230,'Known Players'!$F$5:$F$500,0)),"")</f>
        <v/>
      </c>
    </row>
    <row r="231">
      <c r="A231" t="n">
        <v>50</v>
      </c>
      <c r="B231" t="inlineStr">
        <is>
          <t>Player0863</t>
        </is>
      </c>
      <c r="C231" t="inlineStr">
        <is>
          <t>ExampleWorld075</t>
        </is>
      </c>
      <c r="D231" t="inlineStr">
        <is>
          <t>Horde</t>
        </is>
      </c>
      <c r="E231" t="n">
        <v>7</v>
      </c>
      <c r="F231" t="n">
        <v>7</v>
      </c>
      <c r="G231" t="n">
        <v>0</v>
      </c>
      <c r="H231" s="5" t="n">
        <v>21.734827</v>
      </c>
      <c r="I231" s="5" t="n">
        <v>5.571567</v>
      </c>
      <c r="M231">
        <f>COUNTIFS($B$5:$B$2000,B231,$C$5:$C$2000,C231)+COUNTIFS('PG Roster'!$B$5:$B$2000,B231,'PG Roster'!$C$5:$C$2000,C231)</f>
        <v/>
      </c>
      <c r="N231">
        <f>IFERROR(INDEX('Known Players'!$C$5:$C$500,MATCH(B231&amp;"|"&amp;C231,'Known Players'!$F$5:$F$500,0)),"")</f>
        <v/>
      </c>
      <c r="O231">
        <f>IFERROR(INDEX('Known Players'!$D$5:$D$500,MATCH(B231&amp;"|"&amp;C231,'Known Players'!$F$5:$F$500,0)),"")</f>
        <v/>
      </c>
      <c r="P231">
        <f>IFERROR(INDEX('Known Players'!$G$5:$G$500,MATCH(B231&amp;"|"&amp;C231,'Known Players'!$F$5:$F$500,0)),"")</f>
        <v/>
      </c>
    </row>
    <row r="232">
      <c r="A232" t="n">
        <v>50</v>
      </c>
      <c r="B232" t="inlineStr">
        <is>
          <t>Thornpaw</t>
        </is>
      </c>
      <c r="C232" t="inlineStr">
        <is>
          <t>SandboxRealm</t>
        </is>
      </c>
      <c r="D232" t="inlineStr">
        <is>
          <t>Horde</t>
        </is>
      </c>
      <c r="E232" t="n">
        <v>4</v>
      </c>
      <c r="F232" t="n">
        <v>10</v>
      </c>
      <c r="G232" t="n">
        <v>8</v>
      </c>
      <c r="H232" s="5" t="n">
        <v>16.802827</v>
      </c>
      <c r="I232" s="5" t="n">
        <v>5.297567</v>
      </c>
      <c r="M232">
        <f>COUNTIFS($B$5:$B$2000,B232,$C$5:$C$2000,C232)+COUNTIFS('PG Roster'!$B$5:$B$2000,B232,'PG Roster'!$C$5:$C$2000,C232)</f>
        <v/>
      </c>
      <c r="N232">
        <f>IFERROR(INDEX('Known Players'!$C$5:$C$500,MATCH(B232&amp;"|"&amp;C232,'Known Players'!$F$5:$F$500,0)),"")</f>
        <v/>
      </c>
      <c r="O232">
        <f>IFERROR(INDEX('Known Players'!$D$5:$D$500,MATCH(B232&amp;"|"&amp;C232,'Known Players'!$F$5:$F$500,0)),"")</f>
        <v/>
      </c>
      <c r="P232">
        <f>IFERROR(INDEX('Known Players'!$G$5:$G$500,MATCH(B232&amp;"|"&amp;C232,'Known Players'!$F$5:$F$500,0)),"")</f>
        <v/>
      </c>
    </row>
    <row r="233">
      <c r="A233" t="n">
        <v>50</v>
      </c>
      <c r="B233" t="inlineStr">
        <is>
          <t>Player0950</t>
        </is>
      </c>
      <c r="C233" t="inlineStr">
        <is>
          <t>ExampleWorld102</t>
        </is>
      </c>
      <c r="D233" t="inlineStr">
        <is>
          <t>Horde</t>
        </is>
      </c>
      <c r="E233" t="n">
        <v>2</v>
      </c>
      <c r="F233" t="n">
        <v>3</v>
      </c>
      <c r="G233" t="n">
        <v>0</v>
      </c>
      <c r="H233" s="5" t="n">
        <v>32.968827</v>
      </c>
      <c r="I233" s="5" t="n">
        <v>4.749567</v>
      </c>
      <c r="M233">
        <f>COUNTIFS($B$5:$B$2000,B233,$C$5:$C$2000,C233)+COUNTIFS('PG Roster'!$B$5:$B$2000,B233,'PG Roster'!$C$5:$C$2000,C233)</f>
        <v/>
      </c>
      <c r="N233">
        <f>IFERROR(INDEX('Known Players'!$C$5:$C$500,MATCH(B233&amp;"|"&amp;C233,'Known Players'!$F$5:$F$500,0)),"")</f>
        <v/>
      </c>
      <c r="O233">
        <f>IFERROR(INDEX('Known Players'!$D$5:$D$500,MATCH(B233&amp;"|"&amp;C233,'Known Players'!$F$5:$F$500,0)),"")</f>
        <v/>
      </c>
      <c r="P233">
        <f>IFERROR(INDEX('Known Players'!$G$5:$G$500,MATCH(B233&amp;"|"&amp;C233,'Known Players'!$F$5:$F$500,0)),"")</f>
        <v/>
      </c>
    </row>
    <row r="234">
      <c r="A234" t="n">
        <v>50</v>
      </c>
      <c r="B234" t="inlineStr">
        <is>
          <t>Player0248</t>
        </is>
      </c>
      <c r="C234" t="inlineStr">
        <is>
          <t>SandboxRealm</t>
        </is>
      </c>
      <c r="D234" t="inlineStr">
        <is>
          <t>Horde</t>
        </is>
      </c>
      <c r="E234" t="n">
        <v>10</v>
      </c>
      <c r="F234" t="n">
        <v>3</v>
      </c>
      <c r="G234" t="n">
        <v>0</v>
      </c>
      <c r="H234" s="5" t="n">
        <v>22.008827</v>
      </c>
      <c r="I234" s="5" t="n">
        <v>3.379567</v>
      </c>
      <c r="M234">
        <f>COUNTIFS($B$5:$B$2000,B234,$C$5:$C$2000,C234)+COUNTIFS('PG Roster'!$B$5:$B$2000,B234,'PG Roster'!$C$5:$C$2000,C234)</f>
        <v/>
      </c>
      <c r="N234">
        <f>IFERROR(INDEX('Known Players'!$C$5:$C$500,MATCH(B234&amp;"|"&amp;C234,'Known Players'!$F$5:$F$500,0)),"")</f>
        <v/>
      </c>
      <c r="O234">
        <f>IFERROR(INDEX('Known Players'!$D$5:$D$500,MATCH(B234&amp;"|"&amp;C234,'Known Players'!$F$5:$F$500,0)),"")</f>
        <v/>
      </c>
      <c r="P234">
        <f>IFERROR(INDEX('Known Players'!$G$5:$G$500,MATCH(B234&amp;"|"&amp;C234,'Known Players'!$F$5:$F$500,0)),"")</f>
        <v/>
      </c>
    </row>
    <row r="235">
      <c r="A235" t="n">
        <v>50</v>
      </c>
      <c r="B235" t="inlineStr">
        <is>
          <t>Player0581</t>
        </is>
      </c>
      <c r="C235" t="inlineStr">
        <is>
          <t>ExampleWorld017</t>
        </is>
      </c>
      <c r="D235" t="inlineStr">
        <is>
          <t>Horde</t>
        </is>
      </c>
      <c r="E235" t="n">
        <v>0</v>
      </c>
      <c r="F235" t="n">
        <v>4</v>
      </c>
      <c r="G235" t="n">
        <v>5</v>
      </c>
      <c r="H235" s="5" t="n">
        <v>2.817867</v>
      </c>
      <c r="I235" s="5" t="n">
        <v>1.327307</v>
      </c>
      <c r="M235">
        <f>COUNTIFS($B$5:$B$2000,B235,$C$5:$C$2000,C235)+COUNTIFS('PG Roster'!$B$5:$B$2000,B235,'PG Roster'!$C$5:$C$2000,C235)</f>
        <v/>
      </c>
      <c r="N235">
        <f>IFERROR(INDEX('Known Players'!$C$5:$C$500,MATCH(B235&amp;"|"&amp;C235,'Known Players'!$F$5:$F$500,0)),"")</f>
        <v/>
      </c>
      <c r="O235">
        <f>IFERROR(INDEX('Known Players'!$D$5:$D$500,MATCH(B235&amp;"|"&amp;C235,'Known Players'!$F$5:$F$500,0)),"")</f>
        <v/>
      </c>
      <c r="P235">
        <f>IFERROR(INDEX('Known Players'!$G$5:$G$500,MATCH(B235&amp;"|"&amp;C235,'Known Players'!$F$5:$F$500,0)),"")</f>
        <v/>
      </c>
    </row>
    <row r="236">
      <c r="A236" t="n">
        <v>50</v>
      </c>
      <c r="B236" t="inlineStr">
        <is>
          <t>Player0650</t>
        </is>
      </c>
      <c r="C236" t="inlineStr">
        <is>
          <t>ExampleWorld017</t>
        </is>
      </c>
      <c r="D236" t="inlineStr">
        <is>
          <t>Alliance</t>
        </is>
      </c>
      <c r="E236" t="n">
        <v>0</v>
      </c>
      <c r="F236" t="n">
        <v>5</v>
      </c>
      <c r="G236" t="n">
        <v>0</v>
      </c>
      <c r="H236" s="5" t="n">
        <v>1.204007</v>
      </c>
      <c r="I236" s="5" t="n">
        <v>68.591567</v>
      </c>
      <c r="J236" t="inlineStr">
        <is>
          <t>Flag captures: 2, returns: 1</t>
        </is>
      </c>
      <c r="M236">
        <f>COUNTIFS($B$5:$B$2000,B236,$C$5:$C$2000,C236)+COUNTIFS('PG Roster'!$B$5:$B$2000,B236,'PG Roster'!$C$5:$C$2000,C236)</f>
        <v/>
      </c>
      <c r="N236">
        <f>IFERROR(INDEX('Known Players'!$C$5:$C$500,MATCH(B236&amp;"|"&amp;C236,'Known Players'!$F$5:$F$500,0)),"")</f>
        <v/>
      </c>
      <c r="O236">
        <f>IFERROR(INDEX('Known Players'!$D$5:$D$500,MATCH(B236&amp;"|"&amp;C236,'Known Players'!$F$5:$F$500,0)),"")</f>
        <v/>
      </c>
      <c r="P236">
        <f>IFERROR(INDEX('Known Players'!$G$5:$G$500,MATCH(B236&amp;"|"&amp;C236,'Known Players'!$F$5:$F$500,0)),"")</f>
        <v/>
      </c>
    </row>
    <row r="237">
      <c r="A237" t="n">
        <v>50</v>
      </c>
      <c r="B237" t="inlineStr">
        <is>
          <t>Player0576</t>
        </is>
      </c>
      <c r="C237" t="inlineStr">
        <is>
          <t>ExampleWorld178</t>
        </is>
      </c>
      <c r="D237" t="inlineStr">
        <is>
          <t>Alliance</t>
        </is>
      </c>
      <c r="E237" t="n">
        <v>0</v>
      </c>
      <c r="F237" t="n">
        <v>8</v>
      </c>
      <c r="G237" t="n">
        <v>7</v>
      </c>
      <c r="H237" s="5" t="n">
        <v>4.746827</v>
      </c>
      <c r="I237" s="5" t="n">
        <v>54.891567</v>
      </c>
      <c r="M237">
        <f>COUNTIFS($B$5:$B$2000,B237,$C$5:$C$2000,C237)+COUNTIFS('PG Roster'!$B$5:$B$2000,B237,'PG Roster'!$C$5:$C$2000,C237)</f>
        <v/>
      </c>
      <c r="N237">
        <f>IFERROR(INDEX('Known Players'!$C$5:$C$500,MATCH(B237&amp;"|"&amp;C237,'Known Players'!$F$5:$F$500,0)),"")</f>
        <v/>
      </c>
      <c r="O237">
        <f>IFERROR(INDEX('Known Players'!$D$5:$D$500,MATCH(B237&amp;"|"&amp;C237,'Known Players'!$F$5:$F$500,0)),"")</f>
        <v/>
      </c>
      <c r="P237">
        <f>IFERROR(INDEX('Known Players'!$G$5:$G$500,MATCH(B237&amp;"|"&amp;C237,'Known Players'!$F$5:$F$500,0)),"")</f>
        <v/>
      </c>
    </row>
    <row r="238">
      <c r="A238" t="n">
        <v>50</v>
      </c>
      <c r="B238" t="inlineStr">
        <is>
          <t>Player0384</t>
        </is>
      </c>
      <c r="C238" t="inlineStr">
        <is>
          <t>ExampleWorld034</t>
        </is>
      </c>
      <c r="D238" t="inlineStr">
        <is>
          <t>Alliance</t>
        </is>
      </c>
      <c r="E238" t="n">
        <v>7</v>
      </c>
      <c r="F238" t="n">
        <v>5</v>
      </c>
      <c r="G238" t="n">
        <v>5</v>
      </c>
      <c r="H238" s="5" t="n">
        <v>22.556827</v>
      </c>
      <c r="I238" s="5" t="n">
        <v>16.257567</v>
      </c>
      <c r="M238">
        <f>COUNTIFS($B$5:$B$2000,B238,$C$5:$C$2000,C238)+COUNTIFS('PG Roster'!$B$5:$B$2000,B238,'PG Roster'!$C$5:$C$2000,C238)</f>
        <v/>
      </c>
      <c r="N238">
        <f>IFERROR(INDEX('Known Players'!$C$5:$C$500,MATCH(B238&amp;"|"&amp;C238,'Known Players'!$F$5:$F$500,0)),"")</f>
        <v/>
      </c>
      <c r="O238">
        <f>IFERROR(INDEX('Known Players'!$D$5:$D$500,MATCH(B238&amp;"|"&amp;C238,'Known Players'!$F$5:$F$500,0)),"")</f>
        <v/>
      </c>
      <c r="P238">
        <f>IFERROR(INDEX('Known Players'!$G$5:$G$500,MATCH(B238&amp;"|"&amp;C238,'Known Players'!$F$5:$F$500,0)),"")</f>
        <v/>
      </c>
    </row>
    <row r="239">
      <c r="A239" t="n">
        <v>50</v>
      </c>
      <c r="B239" t="inlineStr">
        <is>
          <t>Player0584</t>
        </is>
      </c>
      <c r="C239" t="inlineStr">
        <is>
          <t>ExampleWorld017</t>
        </is>
      </c>
      <c r="D239" t="inlineStr">
        <is>
          <t>Alliance</t>
        </is>
      </c>
      <c r="E239" t="n">
        <v>10</v>
      </c>
      <c r="F239" t="n">
        <v>0</v>
      </c>
      <c r="G239" t="n">
        <v>7</v>
      </c>
      <c r="H239" s="5" t="n">
        <v>54.888827</v>
      </c>
      <c r="I239" s="5" t="n">
        <v>13.243567</v>
      </c>
      <c r="M239">
        <f>COUNTIFS($B$5:$B$2000,B239,$C$5:$C$2000,C239)+COUNTIFS('PG Roster'!$B$5:$B$2000,B239,'PG Roster'!$C$5:$C$2000,C239)</f>
        <v/>
      </c>
      <c r="N239">
        <f>IFERROR(INDEX('Known Players'!$C$5:$C$500,MATCH(B239&amp;"|"&amp;C239,'Known Players'!$F$5:$F$500,0)),"")</f>
        <v/>
      </c>
      <c r="O239">
        <f>IFERROR(INDEX('Known Players'!$D$5:$D$500,MATCH(B239&amp;"|"&amp;C239,'Known Players'!$F$5:$F$500,0)),"")</f>
        <v/>
      </c>
      <c r="P239">
        <f>IFERROR(INDEX('Known Players'!$G$5:$G$500,MATCH(B239&amp;"|"&amp;C239,'Known Players'!$F$5:$F$500,0)),"")</f>
        <v/>
      </c>
    </row>
    <row r="240">
      <c r="A240" t="n">
        <v>50</v>
      </c>
      <c r="B240" t="inlineStr">
        <is>
          <t>Player0184</t>
        </is>
      </c>
      <c r="C240" t="inlineStr">
        <is>
          <t>ExampleWorld097</t>
        </is>
      </c>
      <c r="D240" t="inlineStr">
        <is>
          <t>Alliance</t>
        </is>
      </c>
      <c r="E240" t="n">
        <v>8</v>
      </c>
      <c r="F240" t="n">
        <v>9</v>
      </c>
      <c r="G240" t="n">
        <v>0</v>
      </c>
      <c r="H240" s="5" t="n">
        <v>54.888827</v>
      </c>
      <c r="I240" s="5" t="n">
        <v>12.421567</v>
      </c>
      <c r="M240">
        <f>COUNTIFS($B$5:$B$2000,B240,$C$5:$C$2000,C240)+COUNTIFS('PG Roster'!$B$5:$B$2000,B240,'PG Roster'!$C$5:$C$2000,C240)</f>
        <v/>
      </c>
      <c r="N240">
        <f>IFERROR(INDEX('Known Players'!$C$5:$C$500,MATCH(B240&amp;"|"&amp;C240,'Known Players'!$F$5:$F$500,0)),"")</f>
        <v/>
      </c>
      <c r="O240">
        <f>IFERROR(INDEX('Known Players'!$D$5:$D$500,MATCH(B240&amp;"|"&amp;C240,'Known Players'!$F$5:$F$500,0)),"")</f>
        <v/>
      </c>
      <c r="P240">
        <f>IFERROR(INDEX('Known Players'!$G$5:$G$500,MATCH(B240&amp;"|"&amp;C240,'Known Players'!$F$5:$F$500,0)),"")</f>
        <v/>
      </c>
    </row>
    <row r="241">
      <c r="A241" t="n">
        <v>50</v>
      </c>
      <c r="B241" t="inlineStr">
        <is>
          <t>Player0830</t>
        </is>
      </c>
      <c r="C241" t="inlineStr">
        <is>
          <t>ExampleWorld164</t>
        </is>
      </c>
      <c r="D241" t="inlineStr">
        <is>
          <t>Alliance</t>
        </is>
      </c>
      <c r="E241" t="n">
        <v>7</v>
      </c>
      <c r="F241" t="n">
        <v>6</v>
      </c>
      <c r="G241" t="n">
        <v>4</v>
      </c>
      <c r="H241" s="5" t="n">
        <v>76.80882699999999</v>
      </c>
      <c r="I241" s="5" t="n">
        <v>10.229567</v>
      </c>
      <c r="M241">
        <f>COUNTIFS($B$5:$B$2000,B241,$C$5:$C$2000,C241)+COUNTIFS('PG Roster'!$B$5:$B$2000,B241,'PG Roster'!$C$5:$C$2000,C241)</f>
        <v/>
      </c>
      <c r="N241">
        <f>IFERROR(INDEX('Known Players'!$C$5:$C$500,MATCH(B241&amp;"|"&amp;C241,'Known Players'!$F$5:$F$500,0)),"")</f>
        <v/>
      </c>
      <c r="O241">
        <f>IFERROR(INDEX('Known Players'!$D$5:$D$500,MATCH(B241&amp;"|"&amp;C241,'Known Players'!$F$5:$F$500,0)),"")</f>
        <v/>
      </c>
      <c r="P241">
        <f>IFERROR(INDEX('Known Players'!$G$5:$G$500,MATCH(B241&amp;"|"&amp;C241,'Known Players'!$F$5:$F$500,0)),"")</f>
        <v/>
      </c>
    </row>
    <row r="242">
      <c r="A242" t="n">
        <v>50</v>
      </c>
      <c r="B242" t="inlineStr">
        <is>
          <t>Player0273</t>
        </is>
      </c>
      <c r="C242" t="inlineStr">
        <is>
          <t>ExampleWorld110</t>
        </is>
      </c>
      <c r="D242" t="inlineStr">
        <is>
          <t>Alliance</t>
        </is>
      </c>
      <c r="E242" t="n">
        <v>10</v>
      </c>
      <c r="F242" t="n">
        <v>6</v>
      </c>
      <c r="G242" t="n">
        <v>4</v>
      </c>
      <c r="H242" s="5" t="n">
        <v>46.668827</v>
      </c>
      <c r="I242" s="5" t="n">
        <v>9.407567</v>
      </c>
      <c r="J242" t="inlineStr">
        <is>
          <t>Flag captures: 1</t>
        </is>
      </c>
      <c r="M242">
        <f>COUNTIFS($B$5:$B$2000,B242,$C$5:$C$2000,C242)+COUNTIFS('PG Roster'!$B$5:$B$2000,B242,'PG Roster'!$C$5:$C$2000,C242)</f>
        <v/>
      </c>
      <c r="N242">
        <f>IFERROR(INDEX('Known Players'!$C$5:$C$500,MATCH(B242&amp;"|"&amp;C242,'Known Players'!$F$5:$F$500,0)),"")</f>
        <v/>
      </c>
      <c r="O242">
        <f>IFERROR(INDEX('Known Players'!$D$5:$D$500,MATCH(B242&amp;"|"&amp;C242,'Known Players'!$F$5:$F$500,0)),"")</f>
        <v/>
      </c>
      <c r="P242">
        <f>IFERROR(INDEX('Known Players'!$G$5:$G$500,MATCH(B242&amp;"|"&amp;C242,'Known Players'!$F$5:$F$500,0)),"")</f>
        <v/>
      </c>
    </row>
    <row r="243">
      <c r="A243" t="n">
        <v>50</v>
      </c>
      <c r="B243" t="inlineStr">
        <is>
          <t>Player0067</t>
        </is>
      </c>
      <c r="C243" t="inlineStr">
        <is>
          <t>SandboxRealm</t>
        </is>
      </c>
      <c r="D243" t="inlineStr">
        <is>
          <t>Alliance</t>
        </is>
      </c>
      <c r="E243" t="n">
        <v>8</v>
      </c>
      <c r="F243" t="n">
        <v>3</v>
      </c>
      <c r="G243" t="n">
        <v>7</v>
      </c>
      <c r="H243" s="5" t="n">
        <v>35.708827</v>
      </c>
      <c r="I243" s="5" t="n">
        <v>7.215567</v>
      </c>
      <c r="M243">
        <f>COUNTIFS($B$5:$B$2000,B243,$C$5:$C$2000,C243)+COUNTIFS('PG Roster'!$B$5:$B$2000,B243,'PG Roster'!$C$5:$C$2000,C243)</f>
        <v/>
      </c>
      <c r="N243">
        <f>IFERROR(INDEX('Known Players'!$C$5:$C$500,MATCH(B243&amp;"|"&amp;C243,'Known Players'!$F$5:$F$500,0)),"")</f>
        <v/>
      </c>
      <c r="O243">
        <f>IFERROR(INDEX('Known Players'!$D$5:$D$500,MATCH(B243&amp;"|"&amp;C243,'Known Players'!$F$5:$F$500,0)),"")</f>
        <v/>
      </c>
      <c r="P243">
        <f>IFERROR(INDEX('Known Players'!$G$5:$G$500,MATCH(B243&amp;"|"&amp;C243,'Known Players'!$F$5:$F$500,0)),"")</f>
        <v/>
      </c>
    </row>
    <row r="244">
      <c r="A244" t="n">
        <v>50</v>
      </c>
      <c r="B244" t="inlineStr">
        <is>
          <t>Player0484</t>
        </is>
      </c>
      <c r="C244" t="inlineStr">
        <is>
          <t>ExampleWorld037</t>
        </is>
      </c>
      <c r="D244" t="inlineStr">
        <is>
          <t>Alliance</t>
        </is>
      </c>
      <c r="E244" t="n">
        <v>4</v>
      </c>
      <c r="F244" t="n">
        <v>3</v>
      </c>
      <c r="G244" t="n">
        <v>0</v>
      </c>
      <c r="H244" s="5" t="n">
        <v>46.668827</v>
      </c>
      <c r="I244" s="5" t="n">
        <v>5.845567</v>
      </c>
      <c r="M244">
        <f>COUNTIFS($B$5:$B$2000,B244,$C$5:$C$2000,C244)+COUNTIFS('PG Roster'!$B$5:$B$2000,B244,'PG Roster'!$C$5:$C$2000,C244)</f>
        <v/>
      </c>
      <c r="N244">
        <f>IFERROR(INDEX('Known Players'!$C$5:$C$500,MATCH(B244&amp;"|"&amp;C244,'Known Players'!$F$5:$F$500,0)),"")</f>
        <v/>
      </c>
      <c r="O244">
        <f>IFERROR(INDEX('Known Players'!$D$5:$D$500,MATCH(B244&amp;"|"&amp;C244,'Known Players'!$F$5:$F$500,0)),"")</f>
        <v/>
      </c>
      <c r="P244">
        <f>IFERROR(INDEX('Known Players'!$G$5:$G$500,MATCH(B244&amp;"|"&amp;C244,'Known Players'!$F$5:$F$500,0)),"")</f>
        <v/>
      </c>
    </row>
    <row r="245">
      <c r="A245" t="n">
        <v>50</v>
      </c>
      <c r="B245" t="inlineStr">
        <is>
          <t>Player0176</t>
        </is>
      </c>
      <c r="C245" t="inlineStr">
        <is>
          <t>ExampleWorld104</t>
        </is>
      </c>
      <c r="D245" t="inlineStr">
        <is>
          <t>Alliance</t>
        </is>
      </c>
      <c r="E245" t="n">
        <v>0</v>
      </c>
      <c r="F245" t="n">
        <v>10</v>
      </c>
      <c r="G245" t="n">
        <v>7</v>
      </c>
      <c r="H245" s="5" t="n">
        <v>10.774827</v>
      </c>
      <c r="I245" s="5" t="n">
        <v>3.653567</v>
      </c>
      <c r="M245">
        <f>COUNTIFS($B$5:$B$2000,B245,$C$5:$C$2000,C245)+COUNTIFS('PG Roster'!$B$5:$B$2000,B245,'PG Roster'!$C$5:$C$2000,C245)</f>
        <v/>
      </c>
      <c r="N245">
        <f>IFERROR(INDEX('Known Players'!$C$5:$C$500,MATCH(B245&amp;"|"&amp;C245,'Known Players'!$F$5:$F$500,0)),"")</f>
        <v/>
      </c>
      <c r="O245">
        <f>IFERROR(INDEX('Known Players'!$D$5:$D$500,MATCH(B245&amp;"|"&amp;C245,'Known Players'!$F$5:$F$500,0)),"")</f>
        <v/>
      </c>
      <c r="P245">
        <f>IFERROR(INDEX('Known Players'!$G$5:$G$500,MATCH(B245&amp;"|"&amp;C245,'Known Players'!$F$5:$F$500,0)),"")</f>
        <v/>
      </c>
    </row>
    <row r="246"/>
    <row r="247">
      <c r="A247" t="inlineStr">
        <is>
          <t>Game 41: full 30. Game 42: 18 listed (two Alliance left). Game 43 (Alterac Valley): 25 of 79 visible. Games 44-46, 48-50: full rosters. Game 47: full 28 (two Horde missing). Values rounded as shown except Mossweaver's footer totals.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Dawnstalker — Summary</t>
        </is>
      </c>
    </row>
    <row r="2">
      <c r="A2" t="inlineStr">
        <is>
          <t>All values calculate from the FL Matches tab.</t>
        </is>
      </c>
    </row>
    <row r="3">
      <c r="A3" t="inlineStr">
        <is>
          <t>Stat</t>
        </is>
      </c>
      <c r="B3" t="inlineStr">
        <is>
          <t>Value</t>
        </is>
      </c>
    </row>
    <row r="4">
      <c r="A4" t="inlineStr">
        <is>
          <t>Games</t>
        </is>
      </c>
      <c r="B4" s="1">
        <f>COUNTA('FL Matches'!$D$5:$D$1000)</f>
        <v/>
      </c>
    </row>
    <row r="5">
      <c r="A5" t="inlineStr">
        <is>
          <t>Wins</t>
        </is>
      </c>
      <c r="B5" s="1">
        <f>COUNTIF('FL Matches'!$G$5:$G$1000,"W")</f>
        <v/>
      </c>
    </row>
    <row r="6">
      <c r="A6" t="inlineStr">
        <is>
          <t>Losses</t>
        </is>
      </c>
      <c r="B6" s="1">
        <f>COUNTIF('FL Matches'!$G$5:$G$1000,"L")</f>
        <v/>
      </c>
    </row>
    <row r="7">
      <c r="A7" t="inlineStr">
        <is>
          <t>Win rate</t>
        </is>
      </c>
      <c r="B7" s="2">
        <f>IF(B4=0,0,B5/B4)</f>
        <v/>
      </c>
    </row>
    <row r="8">
      <c r="A8" t="inlineStr">
        <is>
          <t>Total killing blows</t>
        </is>
      </c>
      <c r="B8" s="1">
        <f>SUM('FL Matches'!$J$5:$J$1000)</f>
        <v/>
      </c>
    </row>
    <row r="9">
      <c r="A9" t="inlineStr">
        <is>
          <t>Total player0354 kills</t>
        </is>
      </c>
      <c r="B9" s="3">
        <f>SUM('FL Matches'!$K$5:$K$1000)</f>
        <v/>
      </c>
    </row>
    <row r="10">
      <c r="A10" t="inlineStr">
        <is>
          <t>Total damage (M)</t>
        </is>
      </c>
      <c r="B10" s="4">
        <f>SUM('FL Matches'!$M$5:$M$1000)</f>
        <v/>
      </c>
    </row>
    <row r="11">
      <c r="A11" t="inlineStr">
        <is>
          <t>Total healing (M)</t>
        </is>
      </c>
      <c r="B11" s="4">
        <f>SUM('FL Matches'!$N$5:$N$1000)</f>
        <v/>
      </c>
    </row>
    <row r="12">
      <c r="A12" t="inlineStr">
        <is>
          <t>Avg killing blows</t>
        </is>
      </c>
      <c r="B12" s="5">
        <f>AVERAGE('FL Matches'!$J$5:$J$1000)</f>
        <v/>
      </c>
    </row>
    <row r="13">
      <c r="A13" t="inlineStr">
        <is>
          <t>Avg player0354 kills</t>
        </is>
      </c>
      <c r="B13" s="4">
        <f>AVERAGE('FL Matches'!$K$5:$K$1000)</f>
        <v/>
      </c>
    </row>
    <row r="14">
      <c r="A14" t="inlineStr">
        <is>
          <t>Avg damage per game (M)</t>
        </is>
      </c>
      <c r="B14" s="5">
        <f>AVERAGE('FL Matches'!$M$5:$M$1000)</f>
        <v/>
      </c>
    </row>
    <row r="15">
      <c r="A15" t="inlineStr">
        <is>
          <t>Avg healing per game (M)</t>
        </is>
      </c>
      <c r="B15" s="5">
        <f>AVERAGE('FL Matches'!$N$5:$N$1000)</f>
        <v/>
      </c>
    </row>
    <row r="16">
      <c r="A16" t="inlineStr">
        <is>
          <t>Damage per minute (M), games with duration</t>
        </is>
      </c>
      <c r="B16" s="5">
        <f>SUMIFS('FL Matches'!$M$5:$M$1000,'FL Matches'!$F$5:$F$1000,"&gt;0")/(SUM('FL Matches'!$F$5:$F$1000)*1440)</f>
        <v/>
      </c>
    </row>
    <row r="17">
      <c r="A17" t="inlineStr">
        <is>
          <t>Best damage (M)</t>
        </is>
      </c>
      <c r="B17" s="5">
        <f>MAX('FL Matches'!$M$5:$M$1000)</f>
        <v/>
      </c>
    </row>
    <row r="18">
      <c r="A18" t="inlineStr">
        <is>
          <t>Best killing blows</t>
        </is>
      </c>
      <c r="B18" s="1">
        <f>MAX('FL Matches'!$J$5:$J$1000)</f>
        <v/>
      </c>
    </row>
    <row r="19">
      <c r="A19" t="inlineStr">
        <is>
          <t>Best player0354 kills</t>
        </is>
      </c>
      <c r="B19" s="1">
        <f>MAX('FL Matches'!$K$5:$K$1000)</f>
        <v/>
      </c>
    </row>
    <row r="20">
      <c r="A20" t="inlineStr">
        <is>
          <t>Games with deaths tracked</t>
        </is>
      </c>
      <c r="B20" s="1">
        <f>COUNT('FL Matches'!$L$5:$L$1000)</f>
        <v/>
      </c>
    </row>
    <row r="21">
      <c r="A21" t="inlineStr">
        <is>
          <t>Avg deaths (tracked games)</t>
        </is>
      </c>
      <c r="B21" s="5">
        <f>IF(B20=0,"",AVERAGE('FL Matches'!$L$5:$L$1000))</f>
        <v/>
      </c>
    </row>
    <row r="22">
      <c r="A22" t="inlineStr">
        <is>
          <t>Total honor</t>
        </is>
      </c>
      <c r="B22" s="3">
        <f>SUM('FL Matches'!$P$5:$P$1000)</f>
        <v/>
      </c>
    </row>
    <row r="23"/>
    <row r="24"/>
    <row r="25">
      <c r="A25" t="inlineStr">
        <is>
          <t>By map type</t>
        </is>
      </c>
    </row>
    <row r="26">
      <c r="A26" t="inlineStr">
        <is>
          <t>Map type</t>
        </is>
      </c>
      <c r="B26" t="inlineStr">
        <is>
          <t>Games</t>
        </is>
      </c>
      <c r="C26" t="inlineStr">
        <is>
          <t>Wins</t>
        </is>
      </c>
      <c r="D26" t="inlineStr">
        <is>
          <t>Win rate</t>
        </is>
      </c>
      <c r="E26" t="inlineStr">
        <is>
          <t>Avg damage (M)</t>
        </is>
      </c>
      <c r="F26" t="inlineStr">
        <is>
          <t>Damage / min (M)</t>
        </is>
      </c>
      <c r="G26" t="inlineStr">
        <is>
          <t>Avg HKs</t>
        </is>
      </c>
    </row>
    <row r="27">
      <c r="A27" t="inlineStr">
        <is>
          <t>Bases</t>
        </is>
      </c>
      <c r="B27">
        <f>COUNTIF('FL Matches'!$E$5:$E$1000,A27)</f>
        <v/>
      </c>
      <c r="C27">
        <f>COUNTIFS('FL Matches'!$E$5:$E$1000,A27,'FL Matches'!$G$5:$G$1000,"W")</f>
        <v/>
      </c>
      <c r="D27" s="6">
        <f>IF(B27=0,"",C27/B27)</f>
        <v/>
      </c>
      <c r="E27" s="5">
        <f>IF(B27=0,"",SUMIFS('FL Matches'!$M$5:$M$1000,'FL Matches'!$E$5:$E$1000,A27)/B27)</f>
        <v/>
      </c>
      <c r="F27" s="5">
        <f>IF(SUMIFS('FL Matches'!$F$5:$F$1000,'FL Matches'!$E$5:$E$1000,A27)=0,"",SUMIFS('FL Matches'!$M$5:$M$1000,'FL Matches'!$E$5:$E$1000,A27,'FL Matches'!$F$5:$F$1000,"&gt;0")/(SUMIFS('FL Matches'!$F$5:$F$1000,'FL Matches'!$E$5:$E$1000,A27)*1440))</f>
        <v/>
      </c>
      <c r="G27" s="4">
        <f>IF(B27=0,"",SUMIFS('FL Matches'!$K$5:$K$1000,'FL Matches'!$E$5:$E$1000,A27)/B27)</f>
        <v/>
      </c>
    </row>
    <row r="28">
      <c r="A28" t="inlineStr">
        <is>
          <t>Flag</t>
        </is>
      </c>
      <c r="B28">
        <f>COUNTIF('FL Matches'!$E$5:$E$1000,A28)</f>
        <v/>
      </c>
      <c r="C28">
        <f>COUNTIFS('FL Matches'!$E$5:$E$1000,A28,'FL Matches'!$G$5:$G$1000,"W")</f>
        <v/>
      </c>
      <c r="D28" s="6">
        <f>IF(B28=0,"",C28/B28)</f>
        <v/>
      </c>
      <c r="E28" s="5">
        <f>IF(B28=0,"",SUMIFS('FL Matches'!$M$5:$M$1000,'FL Matches'!$E$5:$E$1000,A28)/B28)</f>
        <v/>
      </c>
      <c r="F28" s="5">
        <f>IF(SUMIFS('FL Matches'!$F$5:$F$1000,'FL Matches'!$E$5:$E$1000,A28)=0,"",SUMIFS('FL Matches'!$M$5:$M$1000,'FL Matches'!$E$5:$E$1000,A28,'FL Matches'!$F$5:$F$1000,"&gt;0")/(SUMIFS('FL Matches'!$F$5:$F$1000,'FL Matches'!$E$5:$E$1000,A28)*1440))</f>
        <v/>
      </c>
      <c r="G28" s="4">
        <f>IF(B28=0,"",SUMIFS('FL Matches'!$K$5:$K$1000,'FL Matches'!$E$5:$E$1000,A28)/B28)</f>
        <v/>
      </c>
    </row>
    <row r="29">
      <c r="A29" t="inlineStr">
        <is>
          <t>Flag + Bases</t>
        </is>
      </c>
      <c r="B29">
        <f>COUNTIF('FL Matches'!$E$5:$E$1000,A29)</f>
        <v/>
      </c>
      <c r="C29">
        <f>COUNTIFS('FL Matches'!$E$5:$E$1000,A29,'FL Matches'!$G$5:$G$1000,"W")</f>
        <v/>
      </c>
      <c r="D29" s="6">
        <f>IF(B29=0,"",C29/B29)</f>
        <v/>
      </c>
      <c r="E29" s="5">
        <f>IF(B29=0,"",SUMIFS('FL Matches'!$M$5:$M$1000,'FL Matches'!$E$5:$E$1000,A29)/B29)</f>
        <v/>
      </c>
      <c r="F29" s="5">
        <f>IF(SUMIFS('FL Matches'!$F$5:$F$1000,'FL Matches'!$E$5:$E$1000,A29)=0,"",SUMIFS('FL Matches'!$M$5:$M$1000,'FL Matches'!$E$5:$E$1000,A29,'FL Matches'!$F$5:$F$1000,"&gt;0")/(SUMIFS('FL Matches'!$F$5:$F$1000,'FL Matches'!$E$5:$E$1000,A29)*1440))</f>
        <v/>
      </c>
      <c r="G29" s="4">
        <f>IF(B29=0,"",SUMIFS('FL Matches'!$K$5:$K$1000,'FL Matches'!$E$5:$E$1000,A29)/B29)</f>
        <v/>
      </c>
    </row>
    <row r="30">
      <c r="A30" t="inlineStr">
        <is>
          <t>Orbs</t>
        </is>
      </c>
      <c r="B30">
        <f>COUNTIF('FL Matches'!$E$5:$E$1000,A30)</f>
        <v/>
      </c>
      <c r="C30">
        <f>COUNTIFS('FL Matches'!$E$5:$E$1000,A30,'FL Matches'!$G$5:$G$1000,"W")</f>
        <v/>
      </c>
      <c r="D30" s="6">
        <f>IF(B30=0,"",C30/B30)</f>
        <v/>
      </c>
      <c r="E30" s="5">
        <f>IF(B30=0,"",SUMIFS('FL Matches'!$M$5:$M$1000,'FL Matches'!$E$5:$E$1000,A30)/B30)</f>
        <v/>
      </c>
      <c r="F30" s="5">
        <f>IF(SUMIFS('FL Matches'!$F$5:$F$1000,'FL Matches'!$E$5:$E$1000,A30)=0,"",SUMIFS('FL Matches'!$M$5:$M$1000,'FL Matches'!$E$5:$E$1000,A30,'FL Matches'!$F$5:$F$1000,"&gt;0")/(SUMIFS('FL Matches'!$F$5:$F$1000,'FL Matches'!$E$5:$E$1000,A30)*1440))</f>
        <v/>
      </c>
      <c r="G30" s="4">
        <f>IF(B30=0,"",SUMIFS('FL Matches'!$K$5:$K$1000,'FL Matches'!$E$5:$E$1000,A30)/B30)</f>
        <v/>
      </c>
    </row>
    <row r="31">
      <c r="A31" t="inlineStr">
        <is>
          <t>Carts</t>
        </is>
      </c>
      <c r="B31">
        <f>COUNTIF('FL Matches'!$E$5:$E$1000,A31)</f>
        <v/>
      </c>
      <c r="C31">
        <f>COUNTIFS('FL Matches'!$E$5:$E$1000,A31,'FL Matches'!$G$5:$G$1000,"W")</f>
        <v/>
      </c>
      <c r="D31" s="6">
        <f>IF(B31=0,"",C31/B31)</f>
        <v/>
      </c>
      <c r="E31" s="5">
        <f>IF(B31=0,"",SUMIFS('FL Matches'!$M$5:$M$1000,'FL Matches'!$E$5:$E$1000,A31)/B31)</f>
        <v/>
      </c>
      <c r="F31" s="5">
        <f>IF(SUMIFS('FL Matches'!$F$5:$F$1000,'FL Matches'!$E$5:$E$1000,A31)=0,"",SUMIFS('FL Matches'!$M$5:$M$1000,'FL Matches'!$E$5:$E$1000,A31,'FL Matches'!$F$5:$F$1000,"&gt;0")/(SUMIFS('FL Matches'!$F$5:$F$1000,'FL Matches'!$E$5:$E$1000,A31)*1440))</f>
        <v/>
      </c>
      <c r="G31" s="4">
        <f>IF(B31=0,"",SUMIFS('FL Matches'!$K$5:$K$1000,'FL Matches'!$E$5:$E$1000,A31)/B31)</f>
        <v/>
      </c>
    </row>
    <row r="32">
      <c r="A32" t="inlineStr">
        <is>
          <t>Azerite</t>
        </is>
      </c>
      <c r="B32">
        <f>COUNTIF('FL Matches'!$E$5:$E$1000,A32)</f>
        <v/>
      </c>
      <c r="C32">
        <f>COUNTIFS('FL Matches'!$E$5:$E$1000,A32,'FL Matches'!$G$5:$G$1000,"W")</f>
        <v/>
      </c>
      <c r="D32" s="6">
        <f>IF(B32=0,"",C32/B32)</f>
        <v/>
      </c>
      <c r="E32" s="5">
        <f>IF(B32=0,"",SUMIFS('FL Matches'!$M$5:$M$1000,'FL Matches'!$E$5:$E$1000,A32)/B32)</f>
        <v/>
      </c>
      <c r="F32" s="5">
        <f>IF(SUMIFS('FL Matches'!$F$5:$F$1000,'FL Matches'!$E$5:$E$1000,A32)=0,"",SUMIFS('FL Matches'!$M$5:$M$1000,'FL Matches'!$E$5:$E$1000,A32,'FL Matches'!$F$5:$F$1000,"&gt;0")/(SUMIFS('FL Matches'!$F$5:$F$1000,'FL Matches'!$E$5:$E$1000,A32)*1440))</f>
        <v/>
      </c>
      <c r="G32" s="4">
        <f>IF(B32=0,"",SUMIFS('FL Matches'!$K$5:$K$1000,'FL Matches'!$E$5:$E$1000,A32)/B32)</f>
        <v/>
      </c>
    </row>
    <row r="33">
      <c r="A33" t="inlineStr">
        <is>
          <t>Epic</t>
        </is>
      </c>
      <c r="B33">
        <f>COUNTIF('FL Matches'!$E$5:$E$1000,A33)</f>
        <v/>
      </c>
      <c r="C33">
        <f>COUNTIFS('FL Matches'!$E$5:$E$1000,A33,'FL Matches'!$G$5:$G$1000,"W")</f>
        <v/>
      </c>
      <c r="D33" s="6">
        <f>IF(B33=0,"",C33/B33)</f>
        <v/>
      </c>
      <c r="E33" s="5">
        <f>IF(B33=0,"",SUMIFS('FL Matches'!$M$5:$M$1000,'FL Matches'!$E$5:$E$1000,A33)/B33)</f>
        <v/>
      </c>
      <c r="F33" s="5">
        <f>IF(SUMIFS('FL Matches'!$F$5:$F$1000,'FL Matches'!$E$5:$E$1000,A33)=0,"",SUMIFS('FL Matches'!$M$5:$M$1000,'FL Matches'!$E$5:$E$1000,A33,'FL Matches'!$F$5:$F$1000,"&gt;0")/(SUMIFS('FL Matches'!$F$5:$F$1000,'FL Matches'!$E$5:$E$1000,A33)*1440))</f>
        <v/>
      </c>
      <c r="G33" s="4">
        <f>IF(B33=0,"",SUMIFS('FL Matches'!$K$5:$K$1000,'FL Matches'!$E$5:$E$1000,A33)/B33)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Dawnstalker — Battleground Match Log</t>
        </is>
      </c>
    </row>
    <row r="2">
      <c r="A2" t="inlineStr">
        <is>
          <t>Blue = entered data · Black = formulas. Games 1-19 from REFlex (10/09-10/11); games 20-21 from later scoreboards. PvP item level 331 = full honor gear.</t>
        </is>
      </c>
    </row>
    <row r="3"/>
    <row r="4">
      <c r="A4" t="inlineStr">
        <is>
          <t>Game #</t>
        </is>
      </c>
      <c r="B4" t="inlineStr">
        <is>
          <t>Date</t>
        </is>
      </c>
      <c r="C4" t="inlineStr">
        <is>
          <t>Time</t>
        </is>
      </c>
      <c r="D4" t="inlineStr">
        <is>
          <t>Battleground</t>
        </is>
      </c>
      <c r="E4" t="inlineStr">
        <is>
          <t>Map type</t>
        </is>
      </c>
      <c r="F4" t="inlineStr">
        <is>
          <t>Duration</t>
        </is>
      </c>
      <c r="G4" t="inlineStr">
        <is>
          <t>Result</t>
        </is>
      </c>
      <c r="H4" t="inlineStr">
        <is>
          <t>Our score</t>
        </is>
      </c>
      <c r="I4" t="inlineStr">
        <is>
          <t>Enemy score</t>
        </is>
      </c>
      <c r="J4" t="inlineStr">
        <is>
          <t>KB</t>
        </is>
      </c>
      <c r="K4" t="inlineStr">
        <is>
          <t>HK</t>
        </is>
      </c>
      <c r="L4" t="inlineStr">
        <is>
          <t>Deaths</t>
        </is>
      </c>
      <c r="M4" t="inlineStr">
        <is>
          <t>Damage (M)</t>
        </is>
      </c>
      <c r="N4" t="inlineStr">
        <is>
          <t>Healing (M)</t>
        </is>
      </c>
      <c r="O4" t="inlineStr">
        <is>
          <t>Damage / min (M)</t>
        </is>
      </c>
      <c r="P4" t="inlineStr">
        <is>
          <t>Honor</t>
        </is>
      </c>
      <c r="Q4" t="inlineStr">
        <is>
          <t>Conquest</t>
        </is>
      </c>
      <c r="R4" t="inlineStr">
        <is>
          <t>Role</t>
        </is>
      </c>
      <c r="S4" t="inlineStr">
        <is>
          <t>Bases assaulted</t>
        </is>
      </c>
      <c r="T4" t="inlineStr">
        <is>
          <t>Bases defended</t>
        </is>
      </c>
      <c r="U4" t="inlineStr">
        <is>
          <t>Flag captures</t>
        </is>
      </c>
      <c r="V4" t="inlineStr">
        <is>
          <t>Flag returns</t>
        </is>
      </c>
      <c r="W4" t="inlineStr">
        <is>
          <t>Carts controlled</t>
        </is>
      </c>
      <c r="X4" t="inlineStr">
        <is>
          <t>Orb possessions</t>
        </is>
      </c>
      <c r="Y4" t="inlineStr">
        <is>
          <t>Victory points</t>
        </is>
      </c>
      <c r="Z4" t="inlineStr">
        <is>
          <t>Top Horde damage (M)</t>
        </is>
      </c>
      <c r="AA4" t="inlineStr">
        <is>
          <t>Damage share</t>
        </is>
      </c>
      <c r="AB4" t="inlineStr">
        <is>
          <t>Data source</t>
        </is>
      </c>
      <c r="AC4" t="inlineStr">
        <is>
          <t>Notes</t>
        </is>
      </c>
      <c r="AD4" t="inlineStr">
        <is>
          <t>Horde deaths</t>
        </is>
      </c>
      <c r="AE4" t="inlineStr">
        <is>
          <t>Alliance deaths</t>
        </is>
      </c>
      <c r="AF4" t="inlineStr">
        <is>
          <t>Healers (Horde vs Alliance)</t>
        </is>
      </c>
      <c r="AG4" t="inlineStr">
        <is>
          <t>Horde healing (M)</t>
        </is>
      </c>
      <c r="AH4" t="inlineStr">
        <is>
          <t>Alliance healing (M)</t>
        </is>
      </c>
      <c r="AI4" t="inlineStr">
        <is>
          <t>Premade on mains?</t>
        </is>
      </c>
      <c r="AJ4" t="inlineStr">
        <is>
          <t>Teammates on mains</t>
        </is>
      </c>
      <c r="AK4" t="inlineStr">
        <is>
          <t>PvP item level</t>
        </is>
      </c>
    </row>
    <row r="5">
      <c r="A5" t="n">
        <v>1</v>
      </c>
      <c r="B5" s="10" t="n">
        <v>47765</v>
      </c>
      <c r="C5" t="inlineStr">
        <is>
          <t>11:00 PM</t>
        </is>
      </c>
      <c r="D5" t="inlineStr">
        <is>
          <t>The Battle for Gilneas</t>
        </is>
      </c>
      <c r="E5" t="inlineStr">
        <is>
          <t>Bases</t>
        </is>
      </c>
      <c r="F5" s="11" t="n">
        <v>0.01055555555555556</v>
      </c>
      <c r="G5" t="inlineStr">
        <is>
          <t>L</t>
        </is>
      </c>
      <c r="J5" t="n">
        <v>7</v>
      </c>
      <c r="K5" t="n">
        <v>10</v>
      </c>
      <c r="M5" s="5" t="n">
        <v>0.839587</v>
      </c>
      <c r="N5" s="5" t="n">
        <v>0.217607</v>
      </c>
      <c r="O5" s="5">
        <f>IF(OR(F5="",F5=0),"",M5/(F5*1440))</f>
        <v/>
      </c>
      <c r="P5" s="3" t="n">
        <v>335</v>
      </c>
      <c r="AA5" s="6">
        <f>IF(Z5="","",M5/Z5)</f>
        <v/>
      </c>
      <c r="AB5" t="inlineStr">
        <is>
          <t>REFlex</t>
        </is>
      </c>
      <c r="AK5" t="n">
        <v>348</v>
      </c>
    </row>
    <row r="6">
      <c r="A6" t="n">
        <v>2</v>
      </c>
      <c r="B6" s="10" t="n">
        <v>47765</v>
      </c>
      <c r="C6" t="inlineStr">
        <is>
          <t>11:13 PM</t>
        </is>
      </c>
      <c r="D6" t="inlineStr">
        <is>
          <t>Seething Shore</t>
        </is>
      </c>
      <c r="E6" t="inlineStr">
        <is>
          <t>Azerite</t>
        </is>
      </c>
      <c r="F6" s="11" t="n">
        <v>0.006111111111111111</v>
      </c>
      <c r="G6" t="inlineStr">
        <is>
          <t>L</t>
        </is>
      </c>
      <c r="J6" t="n">
        <v>0</v>
      </c>
      <c r="K6" t="n">
        <v>5</v>
      </c>
      <c r="M6" s="5" t="n">
        <v>2.491807</v>
      </c>
      <c r="N6" s="5" t="n">
        <v>0.565587</v>
      </c>
      <c r="O6" s="5">
        <f>IF(OR(F6="",F6=0),"",M6/(F6*1440))</f>
        <v/>
      </c>
      <c r="P6" s="3" t="n">
        <v>240</v>
      </c>
      <c r="AA6" s="6">
        <f>IF(Z6="","",M6/Z6)</f>
        <v/>
      </c>
      <c r="AB6" t="inlineStr">
        <is>
          <t>REFlex</t>
        </is>
      </c>
      <c r="AK6" t="n">
        <v>348</v>
      </c>
    </row>
    <row r="7">
      <c r="A7" t="n">
        <v>3</v>
      </c>
      <c r="B7" s="10" t="n">
        <v>47766</v>
      </c>
      <c r="C7" t="inlineStr">
        <is>
          <t>10:30 AM</t>
        </is>
      </c>
      <c r="D7" t="inlineStr">
        <is>
          <t>Deephaul Ravine</t>
        </is>
      </c>
      <c r="E7" t="inlineStr">
        <is>
          <t>Carts</t>
        </is>
      </c>
      <c r="F7" s="11" t="n">
        <v>0.005798611111111111</v>
      </c>
      <c r="G7" t="inlineStr">
        <is>
          <t>L</t>
        </is>
      </c>
      <c r="J7" t="n">
        <v>4</v>
      </c>
      <c r="K7" t="n">
        <v>3</v>
      </c>
      <c r="M7" s="5" t="n">
        <v>4.500227</v>
      </c>
      <c r="N7" s="5" t="n">
        <v>0.283367</v>
      </c>
      <c r="O7" s="5">
        <f>IF(OR(F7="",F7=0),"",M7/(F7*1440))</f>
        <v/>
      </c>
      <c r="P7" s="3" t="n">
        <v>140</v>
      </c>
      <c r="AA7" s="6">
        <f>IF(Z7="","",M7/Z7)</f>
        <v/>
      </c>
      <c r="AB7" t="inlineStr">
        <is>
          <t>REFlex</t>
        </is>
      </c>
      <c r="AK7" t="n">
        <v>348</v>
      </c>
    </row>
    <row r="8">
      <c r="A8" t="n">
        <v>4</v>
      </c>
      <c r="B8" s="10" t="n">
        <v>47766</v>
      </c>
      <c r="C8" t="inlineStr">
        <is>
          <t>11:40 AM</t>
        </is>
      </c>
      <c r="D8" t="inlineStr">
        <is>
          <t>Warsong Gulch</t>
        </is>
      </c>
      <c r="E8" t="inlineStr">
        <is>
          <t>Flag</t>
        </is>
      </c>
      <c r="F8" s="11" t="n">
        <v>0.009074074074074075</v>
      </c>
      <c r="G8" t="inlineStr">
        <is>
          <t>W</t>
        </is>
      </c>
      <c r="J8" t="n">
        <v>10</v>
      </c>
      <c r="K8" t="n">
        <v>3</v>
      </c>
      <c r="M8" s="5" t="n">
        <v>6.719627</v>
      </c>
      <c r="N8" s="5" t="n">
        <v>0.869727</v>
      </c>
      <c r="O8" s="5">
        <f>IF(OR(F8="",F8=0),"",M8/(F8*1440))</f>
        <v/>
      </c>
      <c r="P8" s="3" t="n">
        <v>714</v>
      </c>
      <c r="AA8" s="6">
        <f>IF(Z8="","",M8/Z8)</f>
        <v/>
      </c>
      <c r="AB8" t="inlineStr">
        <is>
          <t>REFlex</t>
        </is>
      </c>
      <c r="AK8" t="n">
        <v>348</v>
      </c>
    </row>
    <row r="9">
      <c r="A9" t="n">
        <v>5</v>
      </c>
      <c r="B9" s="10" t="n">
        <v>47766</v>
      </c>
      <c r="C9" t="inlineStr">
        <is>
          <t>12:00 PM</t>
        </is>
      </c>
      <c r="D9" t="inlineStr">
        <is>
          <t>Silvershard Mines</t>
        </is>
      </c>
      <c r="E9" t="inlineStr">
        <is>
          <t>Carts</t>
        </is>
      </c>
      <c r="F9" s="11" t="n">
        <v>0.007210648148148148</v>
      </c>
      <c r="G9" t="inlineStr">
        <is>
          <t>W</t>
        </is>
      </c>
      <c r="J9" t="n">
        <v>7</v>
      </c>
      <c r="K9" t="n">
        <v>7</v>
      </c>
      <c r="M9" s="5" t="n">
        <v>5.130427</v>
      </c>
      <c r="N9" s="5" t="n">
        <v>0.590247</v>
      </c>
      <c r="O9" s="5">
        <f>IF(OR(F9="",F9=0),"",M9/(F9*1440))</f>
        <v/>
      </c>
      <c r="P9" s="3" t="n">
        <v>416</v>
      </c>
      <c r="AA9" s="6">
        <f>IF(Z9="","",M9/Z9)</f>
        <v/>
      </c>
      <c r="AB9" t="inlineStr">
        <is>
          <t>REFlex</t>
        </is>
      </c>
      <c r="AK9" t="n">
        <v>348</v>
      </c>
    </row>
    <row r="10">
      <c r="A10" t="n">
        <v>6</v>
      </c>
      <c r="B10" s="10" t="n">
        <v>47766</v>
      </c>
      <c r="C10" t="inlineStr">
        <is>
          <t>12:17 PM</t>
        </is>
      </c>
      <c r="D10" t="inlineStr">
        <is>
          <t>Twin Peaks</t>
        </is>
      </c>
      <c r="E10" t="inlineStr">
        <is>
          <t>Flag</t>
        </is>
      </c>
      <c r="F10" s="11" t="n">
        <v>0.007256944444444444</v>
      </c>
      <c r="G10" t="inlineStr">
        <is>
          <t>L</t>
        </is>
      </c>
      <c r="J10" t="n">
        <v>7</v>
      </c>
      <c r="K10" t="n">
        <v>6</v>
      </c>
      <c r="M10" s="5" t="n">
        <v>3.322027</v>
      </c>
      <c r="N10" s="5" t="n">
        <v>0.582027</v>
      </c>
      <c r="O10" s="5">
        <f>IF(OR(F10="",F10=0),"",M10/(F10*1440))</f>
        <v/>
      </c>
      <c r="P10" s="3" t="n">
        <v>273</v>
      </c>
      <c r="AA10" s="6">
        <f>IF(Z10="","",M10/Z10)</f>
        <v/>
      </c>
      <c r="AB10" t="inlineStr">
        <is>
          <t>REFlex</t>
        </is>
      </c>
      <c r="AK10" t="n">
        <v>348</v>
      </c>
    </row>
    <row r="11">
      <c r="A11" t="n">
        <v>7</v>
      </c>
      <c r="B11" s="10" t="n">
        <v>47766</v>
      </c>
      <c r="C11" t="inlineStr">
        <is>
          <t>01:03 PM</t>
        </is>
      </c>
      <c r="D11" t="inlineStr">
        <is>
          <t>Eye of the Storm</t>
        </is>
      </c>
      <c r="E11" t="inlineStr">
        <is>
          <t>Flag + Bases</t>
        </is>
      </c>
      <c r="F11" s="11" t="n">
        <v>0.008217592592592592</v>
      </c>
      <c r="G11" t="inlineStr">
        <is>
          <t>W</t>
        </is>
      </c>
      <c r="J11" t="n">
        <v>2</v>
      </c>
      <c r="K11" t="n">
        <v>6</v>
      </c>
      <c r="M11" s="5" t="n">
        <v>4.308427</v>
      </c>
      <c r="N11" s="5" t="n">
        <v>0.332687</v>
      </c>
      <c r="O11" s="5">
        <f>IF(OR(F11="",F11=0),"",M11/(F11*1440))</f>
        <v/>
      </c>
      <c r="P11" s="3" t="n">
        <v>494</v>
      </c>
      <c r="AA11" s="6">
        <f>IF(Z11="","",M11/Z11)</f>
        <v/>
      </c>
      <c r="AB11" t="inlineStr">
        <is>
          <t>REFlex</t>
        </is>
      </c>
      <c r="AK11" t="n">
        <v>348</v>
      </c>
    </row>
    <row r="12">
      <c r="A12" t="n">
        <v>8</v>
      </c>
      <c r="B12" s="10" t="n">
        <v>47766</v>
      </c>
      <c r="C12" t="inlineStr">
        <is>
          <t>10:59 PM</t>
        </is>
      </c>
      <c r="D12" t="inlineStr">
        <is>
          <t>Arathi Basin</t>
        </is>
      </c>
      <c r="E12" t="inlineStr">
        <is>
          <t>Bases</t>
        </is>
      </c>
      <c r="F12" s="11" t="n">
        <v>0.01008101851851852</v>
      </c>
      <c r="G12" t="inlineStr">
        <is>
          <t>L</t>
        </is>
      </c>
      <c r="J12" t="n">
        <v>4</v>
      </c>
      <c r="K12" t="n">
        <v>4</v>
      </c>
      <c r="M12" s="5" t="n">
        <v>14.967027</v>
      </c>
      <c r="N12" s="5" t="n">
        <v>0.990287</v>
      </c>
      <c r="O12" s="5">
        <f>IF(OR(F12="",F12=0),"",M12/(F12*1440))</f>
        <v/>
      </c>
      <c r="P12" s="3" t="n">
        <v>432</v>
      </c>
      <c r="AA12" s="6">
        <f>IF(Z12="","",M12/Z12)</f>
        <v/>
      </c>
      <c r="AB12" t="inlineStr">
        <is>
          <t>REFlex</t>
        </is>
      </c>
      <c r="AC12" t="inlineStr">
        <is>
          <t>Synthetic example</t>
        </is>
      </c>
      <c r="AK12" t="n">
        <v>348</v>
      </c>
    </row>
    <row r="13">
      <c r="A13" t="n">
        <v>9</v>
      </c>
      <c r="B13" s="10" t="n">
        <v>47766</v>
      </c>
      <c r="C13" t="inlineStr">
        <is>
          <t>11:02 PM</t>
        </is>
      </c>
      <c r="D13" t="inlineStr">
        <is>
          <t>Warsong Gulch</t>
        </is>
      </c>
      <c r="E13" t="inlineStr">
        <is>
          <t>Flag</t>
        </is>
      </c>
      <c r="F13" s="11" t="n">
        <v>0.005416666666666667</v>
      </c>
      <c r="G13" t="inlineStr">
        <is>
          <t>L</t>
        </is>
      </c>
      <c r="J13" t="n">
        <v>0</v>
      </c>
      <c r="K13" t="n">
        <v>3</v>
      </c>
      <c r="M13" s="5" t="n">
        <v>3.924827</v>
      </c>
      <c r="N13" s="5" t="n">
        <v>0.880687</v>
      </c>
      <c r="O13" s="5">
        <f>IF(OR(F13="",F13=0),"",M13/(F13*1440))</f>
        <v/>
      </c>
      <c r="P13" s="3" t="n">
        <v>277</v>
      </c>
      <c r="AA13" s="6">
        <f>IF(Z13="","",M13/Z13)</f>
        <v/>
      </c>
      <c r="AB13" t="inlineStr">
        <is>
          <t>REFlex</t>
        </is>
      </c>
      <c r="AK13" t="n">
        <v>348</v>
      </c>
    </row>
    <row r="14">
      <c r="A14" t="n">
        <v>10</v>
      </c>
      <c r="B14" s="10" t="n">
        <v>47767</v>
      </c>
      <c r="C14" t="inlineStr">
        <is>
          <t>03:28 AM</t>
        </is>
      </c>
      <c r="D14" t="inlineStr">
        <is>
          <t>Arathi Basin</t>
        </is>
      </c>
      <c r="E14" t="inlineStr">
        <is>
          <t>Bases</t>
        </is>
      </c>
      <c r="F14" s="11" t="n">
        <v>0.009780092592592592</v>
      </c>
      <c r="G14" t="inlineStr">
        <is>
          <t>L</t>
        </is>
      </c>
      <c r="J14" t="n">
        <v>2</v>
      </c>
      <c r="K14" t="n">
        <v>10</v>
      </c>
      <c r="M14" s="5" t="n">
        <v>47.984027</v>
      </c>
      <c r="N14" s="5" t="n">
        <v>5.324967</v>
      </c>
      <c r="O14" s="5">
        <f>IF(OR(F14="",F14=0),"",M14/(F14*1440))</f>
        <v/>
      </c>
      <c r="P14" s="3" t="n">
        <v>473</v>
      </c>
      <c r="AA14" s="6">
        <f>IF(Z14="","",M14/Z14)</f>
        <v/>
      </c>
      <c r="AB14" t="inlineStr">
        <is>
          <t>REFlex</t>
        </is>
      </c>
      <c r="AC14" t="inlineStr">
        <is>
          <t>Synthetic example</t>
        </is>
      </c>
      <c r="AK14" t="n">
        <v>348</v>
      </c>
    </row>
    <row r="15">
      <c r="A15" t="n">
        <v>11</v>
      </c>
      <c r="B15" s="10" t="n">
        <v>47767</v>
      </c>
      <c r="C15" t="inlineStr">
        <is>
          <t>03:52 AM</t>
        </is>
      </c>
      <c r="D15" t="inlineStr">
        <is>
          <t>Warsong Gulch</t>
        </is>
      </c>
      <c r="E15" t="inlineStr">
        <is>
          <t>Flag</t>
        </is>
      </c>
      <c r="F15" s="11" t="n">
        <v>0.01041666666666667</v>
      </c>
      <c r="G15" t="inlineStr">
        <is>
          <t>L</t>
        </is>
      </c>
      <c r="J15" t="n">
        <v>4</v>
      </c>
      <c r="K15" t="n">
        <v>5</v>
      </c>
      <c r="M15" s="5" t="n">
        <v>23.077427</v>
      </c>
      <c r="N15" s="5" t="n">
        <v>3.324767</v>
      </c>
      <c r="O15" s="5">
        <f>IF(OR(F15="",F15=0),"",M15/(F15*1440))</f>
        <v/>
      </c>
      <c r="P15" s="3" t="n">
        <v>401</v>
      </c>
      <c r="AA15" s="6">
        <f>IF(Z15="","",M15/Z15)</f>
        <v/>
      </c>
      <c r="AB15" t="inlineStr">
        <is>
          <t>REFlex</t>
        </is>
      </c>
      <c r="AK15" t="n">
        <v>348</v>
      </c>
    </row>
    <row r="16">
      <c r="A16" t="n">
        <v>12</v>
      </c>
      <c r="B16" s="10" t="n">
        <v>47767</v>
      </c>
      <c r="C16" t="inlineStr">
        <is>
          <t>04:03 AM</t>
        </is>
      </c>
      <c r="D16" t="inlineStr">
        <is>
          <t>Arathi Basin</t>
        </is>
      </c>
      <c r="E16" t="inlineStr">
        <is>
          <t>Bases</t>
        </is>
      </c>
      <c r="F16" s="11" t="n">
        <v>0.004178240740740741</v>
      </c>
      <c r="G16" t="inlineStr">
        <is>
          <t>L</t>
        </is>
      </c>
      <c r="J16" t="n">
        <v>4</v>
      </c>
      <c r="K16" t="n">
        <v>10</v>
      </c>
      <c r="M16" s="5" t="n">
        <v>18.008427</v>
      </c>
      <c r="N16" s="5" t="n">
        <v>2.752107</v>
      </c>
      <c r="O16" s="5">
        <f>IF(OR(F16="",F16=0),"",M16/(F16*1440))</f>
        <v/>
      </c>
      <c r="P16" s="3" t="n">
        <v>314</v>
      </c>
      <c r="AA16" s="6">
        <f>IF(Z16="","",M16/Z16)</f>
        <v/>
      </c>
      <c r="AB16" t="inlineStr">
        <is>
          <t>REFlex</t>
        </is>
      </c>
      <c r="AC16" t="inlineStr">
        <is>
          <t>Synthetic example</t>
        </is>
      </c>
      <c r="AK16" t="n">
        <v>348</v>
      </c>
    </row>
    <row r="17">
      <c r="A17" t="n">
        <v>13</v>
      </c>
      <c r="B17" s="10" t="n">
        <v>47767</v>
      </c>
      <c r="C17" t="inlineStr">
        <is>
          <t>08:21 AM</t>
        </is>
      </c>
      <c r="D17" t="inlineStr">
        <is>
          <t>Arathi Basin</t>
        </is>
      </c>
      <c r="E17" t="inlineStr">
        <is>
          <t>Bases</t>
        </is>
      </c>
      <c r="F17" s="11" t="n">
        <v>0.01065972222222222</v>
      </c>
      <c r="G17" t="inlineStr">
        <is>
          <t>W</t>
        </is>
      </c>
      <c r="J17" t="n">
        <v>5</v>
      </c>
      <c r="K17" t="n">
        <v>5</v>
      </c>
      <c r="M17" s="5" t="n">
        <v>20.748427</v>
      </c>
      <c r="N17" s="5" t="n">
        <v>4.475567</v>
      </c>
      <c r="O17" s="5">
        <f>IF(OR(F17="",F17=0),"",M17/(F17*1440))</f>
        <v/>
      </c>
      <c r="P17" s="3" t="n">
        <v>975</v>
      </c>
      <c r="AA17" s="6">
        <f>IF(Z17="","",M17/Z17)</f>
        <v/>
      </c>
      <c r="AB17" t="inlineStr">
        <is>
          <t>REFlex</t>
        </is>
      </c>
      <c r="AC17" t="inlineStr">
        <is>
          <t>Synthetic example</t>
        </is>
      </c>
      <c r="AK17" t="n">
        <v>348</v>
      </c>
    </row>
    <row r="18">
      <c r="A18" t="n">
        <v>14</v>
      </c>
      <c r="B18" s="10" t="n">
        <v>47767</v>
      </c>
      <c r="C18" t="inlineStr">
        <is>
          <t>08:33 AM</t>
        </is>
      </c>
      <c r="D18" t="inlineStr">
        <is>
          <t>Temple of Kotmogu</t>
        </is>
      </c>
      <c r="E18" t="inlineStr">
        <is>
          <t>Orbs</t>
        </is>
      </c>
      <c r="F18" s="11" t="n">
        <v>0.003344907407407408</v>
      </c>
      <c r="G18" t="inlineStr">
        <is>
          <t>L</t>
        </is>
      </c>
      <c r="H18" t="n">
        <v>255</v>
      </c>
      <c r="I18" t="n">
        <v>1517</v>
      </c>
      <c r="J18" t="n">
        <v>0</v>
      </c>
      <c r="K18" t="n">
        <v>4</v>
      </c>
      <c r="L18" t="n">
        <v>2</v>
      </c>
      <c r="M18" s="5" t="n">
        <v>11.624227</v>
      </c>
      <c r="N18" s="5" t="n">
        <v>2.826087</v>
      </c>
      <c r="O18" s="5">
        <f>IF(OR(F18="",F18=0),"",M18/(F18*1440))</f>
        <v/>
      </c>
      <c r="P18" s="3" t="n">
        <v>191</v>
      </c>
      <c r="X18" t="n">
        <v>0</v>
      </c>
      <c r="Y18" t="n">
        <v>0</v>
      </c>
      <c r="Z18" s="5" t="n">
        <v>27</v>
      </c>
      <c r="AA18" s="6">
        <f>IF(Z18="","",M18/Z18)</f>
        <v/>
      </c>
      <c r="AB18" t="inlineStr">
        <is>
          <t>REFlex + scoreboard</t>
        </is>
      </c>
      <c r="AC18" t="inlineStr">
        <is>
          <t>Synthetic example</t>
        </is>
      </c>
      <c r="AI18" t="inlineStr">
        <is>
          <t>No</t>
        </is>
      </c>
      <c r="AJ18" t="inlineStr">
        <is>
          <t>1 of 2 (raid frames + visible roster)</t>
        </is>
      </c>
      <c r="AK18" t="n">
        <v>348</v>
      </c>
    </row>
    <row r="19">
      <c r="A19" t="n">
        <v>15</v>
      </c>
      <c r="B19" s="10" t="n">
        <v>47767</v>
      </c>
      <c r="C19" t="inlineStr">
        <is>
          <t>08:50 AM</t>
        </is>
      </c>
      <c r="D19" t="inlineStr">
        <is>
          <t>Arathi Basin</t>
        </is>
      </c>
      <c r="E19" t="inlineStr">
        <is>
          <t>Bases</t>
        </is>
      </c>
      <c r="F19" s="11" t="n">
        <v>0.007337962962962963</v>
      </c>
      <c r="G19" t="inlineStr">
        <is>
          <t>L</t>
        </is>
      </c>
      <c r="H19" t="n">
        <v>329</v>
      </c>
      <c r="I19" t="n">
        <v>1517</v>
      </c>
      <c r="J19" t="n">
        <v>2</v>
      </c>
      <c r="K19" t="n">
        <v>10</v>
      </c>
      <c r="L19" t="n">
        <v>10</v>
      </c>
      <c r="M19" s="5" t="n">
        <v>23.378827</v>
      </c>
      <c r="N19" s="5" t="n">
        <v>2.247947</v>
      </c>
      <c r="O19" s="5">
        <f>IF(OR(F19="",F19=0),"",M19/(F19*1440))</f>
        <v/>
      </c>
      <c r="P19" s="3" t="n">
        <v>352</v>
      </c>
      <c r="Z19" s="5" t="n">
        <v>33</v>
      </c>
      <c r="AA19" s="6">
        <f>IF(Z19="","",M19/Z19)</f>
        <v/>
      </c>
      <c r="AB19" t="inlineStr">
        <is>
          <t>REFlex + scoreboard</t>
        </is>
      </c>
      <c r="AC19" t="inlineStr">
        <is>
          <t>Synthetic example</t>
        </is>
      </c>
      <c r="AI19" t="inlineStr">
        <is>
          <t>No</t>
        </is>
      </c>
      <c r="AJ19" t="inlineStr">
        <is>
          <t>1 of 2 (raid frames + visible roster)</t>
        </is>
      </c>
      <c r="AK19" t="n">
        <v>348</v>
      </c>
    </row>
    <row r="20">
      <c r="A20" t="n">
        <v>16</v>
      </c>
      <c r="B20" s="10" t="n">
        <v>47767</v>
      </c>
      <c r="C20" t="inlineStr">
        <is>
          <t>09:12 AM</t>
        </is>
      </c>
      <c r="D20" t="inlineStr">
        <is>
          <t>Eye of the Storm</t>
        </is>
      </c>
      <c r="E20" t="inlineStr">
        <is>
          <t>Flag + Bases</t>
        </is>
      </c>
      <c r="F20" s="11" t="n">
        <v>0.010625</v>
      </c>
      <c r="G20" t="inlineStr">
        <is>
          <t>L</t>
        </is>
      </c>
      <c r="J20" t="n">
        <v>4</v>
      </c>
      <c r="K20" t="n">
        <v>0</v>
      </c>
      <c r="M20" s="5" t="n">
        <v>36.010227</v>
      </c>
      <c r="N20" s="5" t="n">
        <v>4.174167</v>
      </c>
      <c r="O20" s="5">
        <f>IF(OR(F20="",F20=0),"",M20/(F20*1440))</f>
        <v/>
      </c>
      <c r="P20" s="3" t="n">
        <v>434</v>
      </c>
      <c r="AA20" s="6">
        <f>IF(Z20="","",M20/Z20)</f>
        <v/>
      </c>
      <c r="AB20" t="inlineStr">
        <is>
          <t>REFlex</t>
        </is>
      </c>
      <c r="AK20" t="n">
        <v>348</v>
      </c>
    </row>
    <row r="21">
      <c r="A21" t="n">
        <v>17</v>
      </c>
      <c r="B21" s="10" t="n">
        <v>47767</v>
      </c>
      <c r="C21" t="inlineStr">
        <is>
          <t>09:38 AM</t>
        </is>
      </c>
      <c r="D21" t="inlineStr">
        <is>
          <t>Arathi Basin</t>
        </is>
      </c>
      <c r="E21" t="inlineStr">
        <is>
          <t>Bases</t>
        </is>
      </c>
      <c r="F21" s="11" t="n">
        <v>0.01134259259259259</v>
      </c>
      <c r="G21" t="inlineStr">
        <is>
          <t>L</t>
        </is>
      </c>
      <c r="H21" t="n">
        <v>1446</v>
      </c>
      <c r="I21" t="n">
        <v>1517</v>
      </c>
      <c r="J21" t="n">
        <v>7</v>
      </c>
      <c r="K21" t="n">
        <v>8</v>
      </c>
      <c r="L21" t="n">
        <v>4</v>
      </c>
      <c r="M21" s="5" t="n">
        <v>35.982827</v>
      </c>
      <c r="N21" s="5" t="n">
        <v>5.078367</v>
      </c>
      <c r="O21" s="5">
        <f>IF(OR(F21="",F21=0),"",M21/(F21*1440))</f>
        <v/>
      </c>
      <c r="P21" s="3" t="n">
        <v>535</v>
      </c>
      <c r="Z21" s="5" t="n">
        <v>45</v>
      </c>
      <c r="AA21" s="6">
        <f>IF(Z21="","",M21/Z21)</f>
        <v/>
      </c>
      <c r="AB21" t="inlineStr">
        <is>
          <t>REFlex + scoreboard</t>
        </is>
      </c>
      <c r="AC21" t="inlineStr">
        <is>
          <t>Synthetic example</t>
        </is>
      </c>
      <c r="AI21" t="inlineStr">
        <is>
          <t>No</t>
        </is>
      </c>
      <c r="AJ21" t="inlineStr">
        <is>
          <t>1 of 1 (visible roster)</t>
        </is>
      </c>
      <c r="AK21" t="n">
        <v>348</v>
      </c>
    </row>
    <row r="22">
      <c r="A22" t="n">
        <v>18</v>
      </c>
      <c r="B22" s="10" t="n">
        <v>47767</v>
      </c>
      <c r="C22" t="inlineStr">
        <is>
          <t>09:55 AM</t>
        </is>
      </c>
      <c r="D22" t="inlineStr">
        <is>
          <t>Twin Peaks</t>
        </is>
      </c>
      <c r="E22" t="inlineStr">
        <is>
          <t>Flag</t>
        </is>
      </c>
      <c r="F22" s="11" t="n">
        <v>0.004363425925925926</v>
      </c>
      <c r="G22" t="inlineStr">
        <is>
          <t>L</t>
        </is>
      </c>
      <c r="J22" t="n">
        <v>0</v>
      </c>
      <c r="K22" t="n">
        <v>7</v>
      </c>
      <c r="M22" s="5" t="n">
        <v>9.815827000000001</v>
      </c>
      <c r="N22" s="5" t="n">
        <v>0.836847</v>
      </c>
      <c r="O22" s="5">
        <f>IF(OR(F22="",F22=0),"",M22/(F22*1440))</f>
        <v/>
      </c>
      <c r="P22" s="3" t="n">
        <v>308</v>
      </c>
      <c r="AA22" s="6">
        <f>IF(Z22="","",M22/Z22)</f>
        <v/>
      </c>
      <c r="AB22" t="inlineStr">
        <is>
          <t>REFlex</t>
        </is>
      </c>
      <c r="AK22" t="n">
        <v>348</v>
      </c>
    </row>
    <row r="23">
      <c r="A23" t="n">
        <v>19</v>
      </c>
      <c r="B23" s="10" t="n">
        <v>47767</v>
      </c>
      <c r="C23" t="inlineStr">
        <is>
          <t>04:20 PM</t>
        </is>
      </c>
      <c r="D23" t="inlineStr">
        <is>
          <t>Battle for Wintergrasp</t>
        </is>
      </c>
      <c r="E23" t="inlineStr">
        <is>
          <t>Epic</t>
        </is>
      </c>
      <c r="F23" s="11" t="n">
        <v>0.01459490740740741</v>
      </c>
      <c r="G23" t="inlineStr">
        <is>
          <t>L</t>
        </is>
      </c>
      <c r="J23" t="n">
        <v>0</v>
      </c>
      <c r="K23" t="n">
        <v>0</v>
      </c>
      <c r="M23" s="5" t="n">
        <v>35.106027</v>
      </c>
      <c r="N23" s="5" t="n">
        <v>1.883527</v>
      </c>
      <c r="O23" s="5">
        <f>IF(OR(F23="",F23=0),"",M23/(F23*1440))</f>
        <v/>
      </c>
      <c r="P23" s="3" t="n">
        <v>504</v>
      </c>
      <c r="AA23" s="6">
        <f>IF(Z23="","",M23/Z23)</f>
        <v/>
      </c>
      <c r="AB23" t="inlineStr">
        <is>
          <t>REFlex</t>
        </is>
      </c>
      <c r="AK23" t="n">
        <v>348</v>
      </c>
    </row>
    <row r="24">
      <c r="A24" t="n">
        <v>20</v>
      </c>
      <c r="B24" s="10" t="n">
        <v>47768</v>
      </c>
      <c r="C24" t="inlineStr">
        <is>
          <t>06:31 PM</t>
        </is>
      </c>
      <c r="D24" t="inlineStr">
        <is>
          <t>The Battle for Gilneas</t>
        </is>
      </c>
      <c r="E24" t="inlineStr">
        <is>
          <t>Bases</t>
        </is>
      </c>
      <c r="F24" s="11" t="n">
        <v>0.008530092592592593</v>
      </c>
      <c r="G24" t="inlineStr">
        <is>
          <t>W</t>
        </is>
      </c>
      <c r="J24" t="n">
        <v>10</v>
      </c>
      <c r="K24" t="n">
        <v>0</v>
      </c>
      <c r="M24" s="5" t="n">
        <v>14.665627</v>
      </c>
      <c r="N24" s="5" t="n">
        <v>2.239727</v>
      </c>
      <c r="O24" s="5">
        <f>IF(OR(F24="",F24=0),"",M24/(F24*1440))</f>
        <v/>
      </c>
      <c r="P24" s="3" t="n">
        <v>877</v>
      </c>
      <c r="AA24" s="6">
        <f>IF(Z24="","",M24/Z24)</f>
        <v/>
      </c>
      <c r="AB24" t="inlineStr">
        <is>
          <t>REFlex</t>
        </is>
      </c>
      <c r="AC24" t="inlineStr">
        <is>
          <t>Synthetic example</t>
        </is>
      </c>
      <c r="AK24" t="n">
        <v>348</v>
      </c>
    </row>
    <row r="25">
      <c r="A25" t="n">
        <v>21</v>
      </c>
      <c r="B25" s="10" t="n">
        <v>47768</v>
      </c>
      <c r="C25" t="inlineStr">
        <is>
          <t>06:51 PM</t>
        </is>
      </c>
      <c r="D25" t="inlineStr">
        <is>
          <t>The Battle for Gilneas</t>
        </is>
      </c>
      <c r="E25" t="inlineStr">
        <is>
          <t>Bases</t>
        </is>
      </c>
      <c r="F25" s="11" t="n">
        <v>0.006157407407407407</v>
      </c>
      <c r="G25" t="inlineStr">
        <is>
          <t>L</t>
        </is>
      </c>
      <c r="J25" t="n">
        <v>10</v>
      </c>
      <c r="K25" t="n">
        <v>7</v>
      </c>
      <c r="M25" s="5" t="n">
        <v>22.228027</v>
      </c>
      <c r="N25" s="5" t="n">
        <v>1.606787</v>
      </c>
      <c r="O25" s="5">
        <f>IF(OR(F25="",F25=0),"",M25/(F25*1440))</f>
        <v/>
      </c>
      <c r="P25" s="3" t="n">
        <v>352</v>
      </c>
      <c r="AA25" s="6">
        <f>IF(Z25="","",M25/Z25)</f>
        <v/>
      </c>
      <c r="AB25" t="inlineStr">
        <is>
          <t>REFlex</t>
        </is>
      </c>
      <c r="AC25" t="inlineStr">
        <is>
          <t>Synthetic example</t>
        </is>
      </c>
      <c r="AK25" t="n">
        <v>348</v>
      </c>
    </row>
    <row r="26">
      <c r="A26" t="n">
        <v>22</v>
      </c>
      <c r="B26" s="10" t="n">
        <v>47768</v>
      </c>
      <c r="C26" t="inlineStr">
        <is>
          <t>07:03 PM</t>
        </is>
      </c>
      <c r="D26" t="inlineStr">
        <is>
          <t>Seething Shore</t>
        </is>
      </c>
      <c r="E26" t="inlineStr">
        <is>
          <t>Azerite</t>
        </is>
      </c>
      <c r="F26" s="11" t="n">
        <v>0.005671296296296297</v>
      </c>
      <c r="G26" t="inlineStr">
        <is>
          <t>L</t>
        </is>
      </c>
      <c r="J26" t="n">
        <v>0</v>
      </c>
      <c r="K26" t="n">
        <v>10</v>
      </c>
      <c r="M26" s="5" t="n">
        <v>13.788827</v>
      </c>
      <c r="N26" s="5" t="n">
        <v>4.037167</v>
      </c>
      <c r="O26" s="5">
        <f>IF(OR(F26="",F26=0),"",M26/(F26*1440))</f>
        <v/>
      </c>
      <c r="P26" s="3" t="n">
        <v>273</v>
      </c>
      <c r="AA26" s="6">
        <f>IF(Z26="","",M26/Z26)</f>
        <v/>
      </c>
      <c r="AB26" t="inlineStr">
        <is>
          <t>REFlex</t>
        </is>
      </c>
      <c r="AC26" t="inlineStr">
        <is>
          <t>Synthetic example</t>
        </is>
      </c>
      <c r="AK26" t="n">
        <v>348</v>
      </c>
    </row>
    <row r="27">
      <c r="A27" t="n">
        <v>23</v>
      </c>
      <c r="B27" s="10" t="n">
        <v>47773</v>
      </c>
      <c r="C27" t="inlineStr">
        <is>
          <t>07:08 AM</t>
        </is>
      </c>
      <c r="D27" t="inlineStr">
        <is>
          <t>The Battle for Gilneas</t>
        </is>
      </c>
      <c r="E27" t="inlineStr">
        <is>
          <t>Bases</t>
        </is>
      </c>
      <c r="F27" s="11" t="n">
        <v>0.00832175925925926</v>
      </c>
      <c r="G27" t="inlineStr">
        <is>
          <t>W</t>
        </is>
      </c>
      <c r="H27" t="n">
        <v>1517</v>
      </c>
      <c r="I27" t="n">
        <v>550</v>
      </c>
      <c r="J27" t="n">
        <v>8</v>
      </c>
      <c r="K27" t="n">
        <v>5</v>
      </c>
      <c r="L27" t="n">
        <v>4</v>
      </c>
      <c r="M27" s="5" t="n">
        <v>27.982027</v>
      </c>
      <c r="N27" s="5" t="n">
        <v>3.900167</v>
      </c>
      <c r="O27" s="5">
        <f>IF(OR(F27="",F27=0),"",M27/(F27*1440))</f>
        <v/>
      </c>
      <c r="P27" s="3" t="n">
        <v>1311</v>
      </c>
      <c r="Q27" t="n">
        <v>97</v>
      </c>
      <c r="Z27" s="5" t="n">
        <v>41</v>
      </c>
      <c r="AA27" s="6">
        <f>IF(Z27="","",M27/Z27)</f>
        <v/>
      </c>
      <c r="AB27" t="inlineStr">
        <is>
          <t>Scoreboard + REFlex</t>
        </is>
      </c>
      <c r="AC27" t="inlineStr">
        <is>
          <t>Synthetic example</t>
        </is>
      </c>
      <c r="AK27" t="n">
        <v>348</v>
      </c>
    </row>
    <row r="28">
      <c r="A28" t="n">
        <v>24</v>
      </c>
      <c r="B28" s="10" t="n">
        <v>47773</v>
      </c>
      <c r="C28" t="inlineStr">
        <is>
          <t>07:22 AM</t>
        </is>
      </c>
      <c r="D28" t="inlineStr">
        <is>
          <t>Eye of the Storm</t>
        </is>
      </c>
      <c r="E28" t="inlineStr">
        <is>
          <t>Flag + Bases</t>
        </is>
      </c>
      <c r="F28" s="11" t="n">
        <v>0.007013888888888889</v>
      </c>
      <c r="G28" t="inlineStr">
        <is>
          <t>L</t>
        </is>
      </c>
      <c r="H28" t="n">
        <v>577</v>
      </c>
      <c r="I28" t="n">
        <v>1517</v>
      </c>
      <c r="J28" t="n">
        <v>4</v>
      </c>
      <c r="K28" t="n">
        <v>2</v>
      </c>
      <c r="L28" t="n">
        <v>2</v>
      </c>
      <c r="M28" s="5" t="n">
        <v>23.241827</v>
      </c>
      <c r="N28" s="5" t="n">
        <v>5.270167</v>
      </c>
      <c r="O28" s="5">
        <f>IF(OR(F28="",F28=0),"",M28/(F28*1440))</f>
        <v/>
      </c>
      <c r="P28" s="3" t="n">
        <v>354</v>
      </c>
      <c r="Q28" t="n">
        <v>0</v>
      </c>
      <c r="Z28" s="5" t="n">
        <v>42</v>
      </c>
      <c r="AA28" s="6">
        <f>IF(Z28="","",M28/Z28)</f>
        <v/>
      </c>
      <c r="AB28" t="inlineStr">
        <is>
          <t>Scoreboard + REFlex</t>
        </is>
      </c>
      <c r="AC28" t="inlineStr">
        <is>
          <t>Synthetic example</t>
        </is>
      </c>
      <c r="AK28" t="n">
        <v>348</v>
      </c>
    </row>
    <row r="29">
      <c r="A29" t="n">
        <v>25</v>
      </c>
      <c r="B29" s="10" t="n">
        <v>47777</v>
      </c>
      <c r="C29" t="inlineStr">
        <is>
          <t>06:46 PM</t>
        </is>
      </c>
      <c r="D29" t="inlineStr">
        <is>
          <t>Temple of Kotmogu</t>
        </is>
      </c>
      <c r="E29" t="inlineStr">
        <is>
          <t>Orbs</t>
        </is>
      </c>
      <c r="F29" s="11" t="n">
        <v>0.004976851851851852</v>
      </c>
      <c r="G29" t="inlineStr">
        <is>
          <t>L</t>
        </is>
      </c>
      <c r="H29" t="n">
        <v>459</v>
      </c>
      <c r="I29" t="n">
        <v>1517</v>
      </c>
      <c r="J29" t="n">
        <v>7</v>
      </c>
      <c r="K29" t="n">
        <v>3</v>
      </c>
      <c r="L29" t="n">
        <v>8</v>
      </c>
      <c r="M29" s="5" t="n">
        <v>13.323027</v>
      </c>
      <c r="N29" s="5" t="n">
        <v>1.686247</v>
      </c>
      <c r="O29" s="5">
        <f>IF(OR(F29="",F29=0),"",M29/(F29*1440))</f>
        <v/>
      </c>
      <c r="P29" s="3" t="n">
        <v>243</v>
      </c>
      <c r="Q29" t="n">
        <v>0</v>
      </c>
      <c r="R29" t="inlineStr">
        <is>
          <t>Orb carrier + team fights</t>
        </is>
      </c>
      <c r="X29" t="n">
        <v>19</v>
      </c>
      <c r="Y29" t="n">
        <v>81</v>
      </c>
      <c r="Z29" s="5" t="n">
        <v>32</v>
      </c>
      <c r="AA29" s="6">
        <f>IF(Z29="","",M29/Z29)</f>
        <v/>
      </c>
      <c r="AB29" t="inlineStr">
        <is>
          <t>Scoreboard (full roster) + REFlex + PvP Ledger</t>
        </is>
      </c>
      <c r="AC29" t="inlineStr">
        <is>
          <t>Synthetic example</t>
        </is>
      </c>
      <c r="AD29" t="n">
        <v>65</v>
      </c>
      <c r="AE29" t="n">
        <v>27</v>
      </c>
      <c r="AF29" t="inlineStr">
        <is>
          <t>2 vs 1</t>
        </is>
      </c>
      <c r="AG29" s="4" t="n">
        <v>71.89</v>
      </c>
      <c r="AH29" s="4" t="n">
        <v>77.59999999999999</v>
      </c>
      <c r="AI29" t="inlineStr">
        <is>
          <t>No</t>
        </is>
      </c>
      <c r="AJ29" t="inlineStr">
        <is>
          <t>1 of 2 (full roster)</t>
        </is>
      </c>
      <c r="AK29" t="n">
        <v>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Dawnstalker — Arena Log</t>
        </is>
      </c>
    </row>
    <row r="2">
      <c r="A2" t="inlineStr">
        <is>
          <t>From REFlex (10/10-10/17). All 27 REFlex arena games captured as of 10/21.</t>
        </is>
      </c>
    </row>
    <row r="3"/>
    <row r="4">
      <c r="A4" t="inlineStr">
        <is>
          <t>#</t>
        </is>
      </c>
      <c r="B4" t="inlineStr">
        <is>
          <t>Date</t>
        </is>
      </c>
      <c r="C4" t="inlineStr">
        <is>
          <t>Time</t>
        </is>
      </c>
      <c r="D4" t="inlineStr">
        <is>
          <t>Arena</t>
        </is>
      </c>
      <c r="E4" t="inlineStr">
        <is>
          <t>Bracket</t>
        </is>
      </c>
      <c r="F4" t="inlineStr">
        <is>
          <t>Result</t>
        </is>
      </c>
      <c r="G4" t="inlineStr">
        <is>
          <t>Shuffle rounds</t>
        </is>
      </c>
      <c r="H4" t="inlineStr">
        <is>
          <t>Team MMR</t>
        </is>
      </c>
      <c r="I4" t="inlineStr">
        <is>
          <t>Enemy MMR</t>
        </is>
      </c>
      <c r="J4" t="inlineStr">
        <is>
          <t>Duration</t>
        </is>
      </c>
      <c r="K4" t="inlineStr">
        <is>
          <t>Damage (M)</t>
        </is>
      </c>
      <c r="L4" t="inlineStr">
        <is>
          <t>Healing (M)</t>
        </is>
      </c>
      <c r="M4" t="inlineStr">
        <is>
          <t>Rating change</t>
        </is>
      </c>
      <c r="N4" t="inlineStr">
        <is>
          <t>Notes</t>
        </is>
      </c>
    </row>
    <row r="5">
      <c r="A5" t="n">
        <v>1</v>
      </c>
      <c r="B5" s="10" t="n">
        <v>47766</v>
      </c>
      <c r="C5" t="inlineStr">
        <is>
          <t>07:04 PM</t>
        </is>
      </c>
      <c r="D5" t="inlineStr">
        <is>
          <t>DS</t>
        </is>
      </c>
      <c r="E5" t="inlineStr">
        <is>
          <t>2v2 skirmish</t>
        </is>
      </c>
      <c r="F5" t="inlineStr">
        <is>
          <t>W</t>
        </is>
      </c>
      <c r="J5" s="11" t="n">
        <v>0.002094907407407407</v>
      </c>
      <c r="K5" s="5" t="n">
        <v>0.6176469999999999</v>
      </c>
      <c r="L5" s="5" t="n">
        <v>0</v>
      </c>
      <c r="N5" t="inlineStr">
        <is>
          <t>Synthetic example</t>
        </is>
      </c>
    </row>
    <row r="6">
      <c r="A6" t="n">
        <v>2</v>
      </c>
      <c r="B6" s="10" t="n">
        <v>47766</v>
      </c>
      <c r="C6" t="inlineStr">
        <is>
          <t>07:09 PM</t>
        </is>
      </c>
      <c r="D6" t="inlineStr">
        <is>
          <t>HP</t>
        </is>
      </c>
      <c r="E6" t="inlineStr">
        <is>
          <t>2v2 skirmish</t>
        </is>
      </c>
      <c r="F6" t="inlineStr">
        <is>
          <t>W</t>
        </is>
      </c>
      <c r="J6" s="11" t="n">
        <v>0.0005092592592592592</v>
      </c>
      <c r="K6" s="5" t="n">
        <v>0.450507</v>
      </c>
      <c r="L6" s="5" t="n">
        <v>0</v>
      </c>
    </row>
    <row r="7">
      <c r="A7" t="n">
        <v>3</v>
      </c>
      <c r="B7" s="10" t="n">
        <v>47766</v>
      </c>
      <c r="C7" t="inlineStr">
        <is>
          <t>07:16 PM</t>
        </is>
      </c>
      <c r="D7" t="inlineStr">
        <is>
          <t>M</t>
        </is>
      </c>
      <c r="E7" t="inlineStr">
        <is>
          <t>2v2 skirmish</t>
        </is>
      </c>
      <c r="F7" t="inlineStr">
        <is>
          <t>W</t>
        </is>
      </c>
      <c r="J7" s="11" t="n">
        <v>0.0004050925925925926</v>
      </c>
      <c r="K7" s="5" t="n">
        <v>0.754647</v>
      </c>
      <c r="L7" s="5" t="n">
        <v>0</v>
      </c>
    </row>
    <row r="8">
      <c r="A8" t="n">
        <v>4</v>
      </c>
      <c r="B8" s="10" t="n">
        <v>47766</v>
      </c>
      <c r="C8" t="inlineStr">
        <is>
          <t>07:23 PM</t>
        </is>
      </c>
      <c r="D8" t="inlineStr">
        <is>
          <t>AF</t>
        </is>
      </c>
      <c r="E8" t="inlineStr">
        <is>
          <t>2v2 skirmish</t>
        </is>
      </c>
      <c r="F8" t="inlineStr">
        <is>
          <t>L</t>
        </is>
      </c>
      <c r="J8" s="11" t="n">
        <v>0.001284722222222222</v>
      </c>
      <c r="K8" s="5" t="n">
        <v>2.639767</v>
      </c>
      <c r="L8" s="5" t="n">
        <v>0.239527</v>
      </c>
    </row>
    <row r="9">
      <c r="A9" t="n">
        <v>5</v>
      </c>
      <c r="B9" s="10" t="n">
        <v>47766</v>
      </c>
      <c r="C9" t="inlineStr">
        <is>
          <t>11:13 PM</t>
        </is>
      </c>
      <c r="D9" t="inlineStr">
        <is>
          <t>NPG</t>
        </is>
      </c>
      <c r="E9" t="inlineStr">
        <is>
          <t>3v3 skirmish</t>
        </is>
      </c>
      <c r="F9" t="inlineStr">
        <is>
          <t>W</t>
        </is>
      </c>
      <c r="J9" s="11" t="n">
        <v>0.004201388888888889</v>
      </c>
      <c r="K9" s="5" t="n">
        <v>30.475427</v>
      </c>
      <c r="L9" s="5" t="n">
        <v>0</v>
      </c>
    </row>
    <row r="10">
      <c r="A10" t="n">
        <v>6</v>
      </c>
      <c r="B10" s="10" t="n">
        <v>47767</v>
      </c>
      <c r="C10" t="inlineStr">
        <is>
          <t>12:29 AM</t>
        </is>
      </c>
      <c r="D10" t="inlineStr">
        <is>
          <t>TA</t>
        </is>
      </c>
      <c r="E10" t="inlineStr">
        <is>
          <t>2v2 skirmish</t>
        </is>
      </c>
      <c r="F10" t="inlineStr">
        <is>
          <t>L</t>
        </is>
      </c>
      <c r="J10" s="11" t="n">
        <v>0.0006828703703703704</v>
      </c>
      <c r="K10" s="5" t="n">
        <v>2.001347</v>
      </c>
      <c r="L10" s="5" t="n">
        <v>0</v>
      </c>
    </row>
    <row r="11">
      <c r="A11" t="n">
        <v>7</v>
      </c>
      <c r="B11" s="10" t="n">
        <v>47767</v>
      </c>
      <c r="C11" t="inlineStr">
        <is>
          <t>12:35 AM</t>
        </is>
      </c>
      <c r="D11" t="inlineStr">
        <is>
          <t>TTP</t>
        </is>
      </c>
      <c r="E11" t="inlineStr">
        <is>
          <t>2v2 skirmish</t>
        </is>
      </c>
      <c r="F11" t="inlineStr">
        <is>
          <t>L</t>
        </is>
      </c>
      <c r="J11" s="11" t="n">
        <v>0.000787037037037037</v>
      </c>
      <c r="K11" s="5" t="n">
        <v>1.554727</v>
      </c>
      <c r="L11" s="5" t="n">
        <v>0.809447</v>
      </c>
    </row>
    <row r="12">
      <c r="A12" t="n">
        <v>8</v>
      </c>
      <c r="B12" s="10" t="n">
        <v>47767</v>
      </c>
      <c r="C12" t="inlineStr">
        <is>
          <t>02:38 AM</t>
        </is>
      </c>
      <c r="D12" t="inlineStr">
        <is>
          <t>CoC</t>
        </is>
      </c>
      <c r="E12" t="inlineStr">
        <is>
          <t>2v2 skirmish</t>
        </is>
      </c>
      <c r="F12" t="inlineStr">
        <is>
          <t>W</t>
        </is>
      </c>
      <c r="J12" s="11" t="n">
        <v>0.0002893518518518518</v>
      </c>
      <c r="K12" s="5" t="n">
        <v>1.595827</v>
      </c>
      <c r="L12" s="5" t="n">
        <v>0.09264699999999999</v>
      </c>
    </row>
    <row r="13">
      <c r="A13" t="n">
        <v>9</v>
      </c>
      <c r="B13" s="10" t="n">
        <v>47767</v>
      </c>
      <c r="C13" t="inlineStr">
        <is>
          <t>02:46 AM</t>
        </is>
      </c>
      <c r="D13" t="inlineStr">
        <is>
          <t>RoL</t>
        </is>
      </c>
      <c r="E13" t="inlineStr">
        <is>
          <t>2v2 skirmish</t>
        </is>
      </c>
      <c r="F13" t="inlineStr">
        <is>
          <t>L</t>
        </is>
      </c>
      <c r="J13" s="11" t="n">
        <v>0.0003009259259259259</v>
      </c>
      <c r="K13" s="5" t="n">
        <v>0.316247</v>
      </c>
      <c r="L13" s="5" t="n">
        <v>0</v>
      </c>
    </row>
    <row r="14">
      <c r="A14" t="n">
        <v>10</v>
      </c>
      <c r="B14" s="10" t="n">
        <v>47767</v>
      </c>
      <c r="C14" t="inlineStr">
        <is>
          <t>02:52 AM</t>
        </is>
      </c>
      <c r="D14" t="inlineStr">
        <is>
          <t>M</t>
        </is>
      </c>
      <c r="E14" t="inlineStr">
        <is>
          <t>2v2 skirmish</t>
        </is>
      </c>
      <c r="F14" t="inlineStr">
        <is>
          <t>L</t>
        </is>
      </c>
      <c r="J14" s="11" t="n">
        <v>0.0009027777777777777</v>
      </c>
      <c r="K14" s="5" t="n">
        <v>1.697207</v>
      </c>
      <c r="L14" s="5" t="n">
        <v>0.746427</v>
      </c>
    </row>
    <row r="15">
      <c r="A15" t="n">
        <v>11</v>
      </c>
      <c r="B15" s="10" t="n">
        <v>47767</v>
      </c>
      <c r="C15" t="inlineStr">
        <is>
          <t>03:08 AM</t>
        </is>
      </c>
      <c r="D15" t="inlineStr">
        <is>
          <t>M</t>
        </is>
      </c>
      <c r="E15" t="inlineStr">
        <is>
          <t>Solo Shuffle</t>
        </is>
      </c>
      <c r="G15" t="inlineStr">
        <is>
          <t>1-5 (as displayed)</t>
        </is>
      </c>
      <c r="H15" t="n">
        <v>1905</v>
      </c>
      <c r="I15" t="n">
        <v>1696</v>
      </c>
      <c r="K15" s="5" t="n">
        <v>46.038627</v>
      </c>
      <c r="L15" s="5" t="n">
        <v>5.982567</v>
      </c>
      <c r="M15" t="n">
        <v>113</v>
      </c>
      <c r="N15" t="inlineStr">
        <is>
          <t>Synthetic example</t>
        </is>
      </c>
    </row>
    <row r="16">
      <c r="A16" t="n">
        <v>12</v>
      </c>
      <c r="B16" s="10" t="n">
        <v>47767</v>
      </c>
      <c r="C16" t="inlineStr">
        <is>
          <t>03:56 PM</t>
        </is>
      </c>
      <c r="D16" t="inlineStr">
        <is>
          <t>TR</t>
        </is>
      </c>
      <c r="E16" t="inlineStr">
        <is>
          <t>2v2 skirmish</t>
        </is>
      </c>
      <c r="F16" t="inlineStr">
        <is>
          <t>L</t>
        </is>
      </c>
      <c r="J16" s="11" t="n">
        <v>0.0005439814814814814</v>
      </c>
      <c r="K16" s="5" t="n">
        <v>3.568627</v>
      </c>
      <c r="L16" s="5" t="n">
        <v>0.908087</v>
      </c>
    </row>
    <row r="17">
      <c r="A17" t="n">
        <v>13</v>
      </c>
      <c r="B17" s="10" t="n">
        <v>47767</v>
      </c>
      <c r="C17" t="inlineStr">
        <is>
          <t>04:00 PM</t>
        </is>
      </c>
      <c r="D17" t="inlineStr">
        <is>
          <t>M</t>
        </is>
      </c>
      <c r="E17" t="inlineStr">
        <is>
          <t>2v2 skirmish</t>
        </is>
      </c>
      <c r="F17" t="inlineStr">
        <is>
          <t>W</t>
        </is>
      </c>
      <c r="J17" s="11" t="n">
        <v>0.0003356481481481481</v>
      </c>
      <c r="K17" s="5" t="n">
        <v>2.327407</v>
      </c>
      <c r="L17" s="5" t="n">
        <v>0</v>
      </c>
    </row>
    <row r="18">
      <c r="A18" t="n">
        <v>14</v>
      </c>
      <c r="B18" s="10" t="n">
        <v>47767</v>
      </c>
      <c r="C18" t="inlineStr">
        <is>
          <t>04:22 PM</t>
        </is>
      </c>
      <c r="D18" t="inlineStr">
        <is>
          <t>DS</t>
        </is>
      </c>
      <c r="E18" t="inlineStr">
        <is>
          <t>2v2 skirmish</t>
        </is>
      </c>
      <c r="F18" t="inlineStr">
        <is>
          <t>L</t>
        </is>
      </c>
      <c r="J18" s="11" t="n">
        <v>0.0002546296296296296</v>
      </c>
      <c r="K18" s="5" t="n">
        <v>0.239527</v>
      </c>
      <c r="L18" s="5" t="n">
        <v>0.09286</v>
      </c>
    </row>
    <row r="19">
      <c r="A19" t="n">
        <v>15</v>
      </c>
      <c r="B19" s="10" t="n">
        <v>47767</v>
      </c>
      <c r="C19" t="inlineStr">
        <is>
          <t>04:25 PM</t>
        </is>
      </c>
      <c r="D19" t="inlineStr">
        <is>
          <t>RoL</t>
        </is>
      </c>
      <c r="E19" t="inlineStr">
        <is>
          <t>2v2 skirmish</t>
        </is>
      </c>
      <c r="F19" t="inlineStr">
        <is>
          <t>L</t>
        </is>
      </c>
      <c r="J19" s="11" t="n">
        <v>0.0005555555555555556</v>
      </c>
      <c r="K19" s="5" t="n">
        <v>1.387587</v>
      </c>
      <c r="L19" s="5" t="n">
        <v>0.888907</v>
      </c>
    </row>
    <row r="20">
      <c r="A20" t="n">
        <v>16</v>
      </c>
      <c r="B20" s="10" t="n">
        <v>47767</v>
      </c>
      <c r="C20" t="inlineStr">
        <is>
          <t>04:30 PM</t>
        </is>
      </c>
      <c r="D20" t="inlineStr">
        <is>
          <t>NA</t>
        </is>
      </c>
      <c r="E20" t="inlineStr">
        <is>
          <t>2v2 skirmish</t>
        </is>
      </c>
      <c r="F20" t="inlineStr">
        <is>
          <t>L</t>
        </is>
      </c>
      <c r="J20" s="11" t="n">
        <v>0.0004976851851851852</v>
      </c>
      <c r="K20" s="5" t="n">
        <v>2.206847</v>
      </c>
      <c r="L20" s="5" t="n">
        <v>0.823147</v>
      </c>
    </row>
    <row r="21">
      <c r="A21" t="n">
        <v>17</v>
      </c>
      <c r="B21" s="10" t="n">
        <v>47767</v>
      </c>
      <c r="C21" t="inlineStr">
        <is>
          <t>04:33 PM</t>
        </is>
      </c>
      <c r="D21" t="inlineStr">
        <is>
          <t>AF</t>
        </is>
      </c>
      <c r="E21" t="inlineStr">
        <is>
          <t>2v2 skirmish</t>
        </is>
      </c>
      <c r="F21" t="inlineStr">
        <is>
          <t>L</t>
        </is>
      </c>
      <c r="J21" s="11" t="n">
        <v>0.0002199074074074074</v>
      </c>
      <c r="K21" s="5" t="n">
        <v>0.121707</v>
      </c>
      <c r="L21" s="5" t="n">
        <v>0</v>
      </c>
    </row>
    <row r="22">
      <c r="A22" t="n">
        <v>18</v>
      </c>
      <c r="B22" s="10" t="n">
        <v>47767</v>
      </c>
      <c r="C22" t="inlineStr">
        <is>
          <t>04:37 PM</t>
        </is>
      </c>
      <c r="D22" t="inlineStr">
        <is>
          <t>EC</t>
        </is>
      </c>
      <c r="E22" t="inlineStr">
        <is>
          <t>2v2 skirmish</t>
        </is>
      </c>
      <c r="F22" t="inlineStr">
        <is>
          <t>W</t>
        </is>
      </c>
      <c r="J22" s="11" t="n">
        <v>0.0004050925925925926</v>
      </c>
      <c r="K22" s="5" t="n">
        <v>2.275347</v>
      </c>
      <c r="L22" s="5" t="n">
        <v>0.683407</v>
      </c>
    </row>
    <row r="23">
      <c r="A23" t="n">
        <v>19</v>
      </c>
      <c r="B23" s="10" t="n">
        <v>47767</v>
      </c>
      <c r="C23" t="inlineStr">
        <is>
          <t>04:41 PM</t>
        </is>
      </c>
      <c r="D23" t="inlineStr">
        <is>
          <t>NPG</t>
        </is>
      </c>
      <c r="E23" t="inlineStr">
        <is>
          <t>2v2 skirmish</t>
        </is>
      </c>
      <c r="F23" t="inlineStr">
        <is>
          <t>L</t>
        </is>
      </c>
      <c r="J23" s="11" t="n">
        <v>0.0003240740740740741</v>
      </c>
      <c r="K23" s="5" t="n">
        <v>0.439547</v>
      </c>
      <c r="L23" s="5" t="n">
        <v>0</v>
      </c>
    </row>
    <row r="24">
      <c r="A24" t="n">
        <v>20</v>
      </c>
      <c r="B24" s="10" t="n">
        <v>47768</v>
      </c>
      <c r="C24" t="inlineStr">
        <is>
          <t>06:15 PM</t>
        </is>
      </c>
      <c r="D24" t="inlineStr">
        <is>
          <t>HP</t>
        </is>
      </c>
      <c r="E24" t="inlineStr">
        <is>
          <t>2v2 skirmish</t>
        </is>
      </c>
      <c r="F24" t="inlineStr">
        <is>
          <t>L</t>
        </is>
      </c>
      <c r="J24" s="11" t="n">
        <v>0.0005208333333333333</v>
      </c>
      <c r="K24" s="5" t="n">
        <v>2.579487</v>
      </c>
      <c r="L24" s="5" t="n">
        <v>0.705327</v>
      </c>
    </row>
    <row r="25">
      <c r="A25" t="n">
        <v>21</v>
      </c>
      <c r="B25" s="10" t="n">
        <v>47769</v>
      </c>
      <c r="C25" t="inlineStr">
        <is>
          <t>03:44 AM</t>
        </is>
      </c>
      <c r="D25" t="inlineStr">
        <is>
          <t>NPG</t>
        </is>
      </c>
      <c r="E25" t="inlineStr">
        <is>
          <t>2v2 skirmish</t>
        </is>
      </c>
      <c r="F25" t="inlineStr">
        <is>
          <t>L</t>
        </is>
      </c>
      <c r="J25" s="11" t="n">
        <v>0.0005439814814814814</v>
      </c>
      <c r="K25" s="5" t="n">
        <v>2.437007</v>
      </c>
      <c r="L25" s="5" t="n">
        <v>0.743687</v>
      </c>
    </row>
    <row r="26">
      <c r="A26" t="n">
        <v>22</v>
      </c>
      <c r="B26" s="10" t="n">
        <v>47769</v>
      </c>
      <c r="C26" t="inlineStr">
        <is>
          <t>03:49 AM</t>
        </is>
      </c>
      <c r="D26" t="inlineStr">
        <is>
          <t>NPG</t>
        </is>
      </c>
      <c r="E26" t="inlineStr">
        <is>
          <t>2v2 skirmish</t>
        </is>
      </c>
      <c r="F26" t="inlineStr">
        <is>
          <t>L</t>
        </is>
      </c>
      <c r="J26" s="11" t="n">
        <v>0.001030092592592593</v>
      </c>
      <c r="K26" s="5" t="n">
        <v>7.925227</v>
      </c>
      <c r="L26" s="5" t="n">
        <v>0.825887</v>
      </c>
    </row>
    <row r="27">
      <c r="A27" t="n">
        <v>23</v>
      </c>
      <c r="B27" s="10" t="n">
        <v>47769</v>
      </c>
      <c r="C27" t="inlineStr">
        <is>
          <t>03:55 AM</t>
        </is>
      </c>
      <c r="D27" t="inlineStr">
        <is>
          <t>HP</t>
        </is>
      </c>
      <c r="E27" t="inlineStr">
        <is>
          <t>3v3 skirmish</t>
        </is>
      </c>
      <c r="F27" t="inlineStr">
        <is>
          <t>L</t>
        </is>
      </c>
      <c r="J27" s="11" t="n">
        <v>0.001539351851851852</v>
      </c>
      <c r="K27" s="5" t="n">
        <v>11.651627</v>
      </c>
      <c r="L27" s="5" t="n">
        <v>0.727247</v>
      </c>
    </row>
    <row r="28">
      <c r="A28" t="n">
        <v>24</v>
      </c>
      <c r="B28" s="10" t="n">
        <v>47769</v>
      </c>
      <c r="C28" t="inlineStr">
        <is>
          <t>04:11 AM</t>
        </is>
      </c>
      <c r="D28" t="inlineStr">
        <is>
          <t>HP</t>
        </is>
      </c>
      <c r="E28" t="inlineStr">
        <is>
          <t>3v3 skirmish</t>
        </is>
      </c>
      <c r="F28" t="inlineStr">
        <is>
          <t>L</t>
        </is>
      </c>
      <c r="J28" s="11" t="n">
        <v>0.0005555555555555556</v>
      </c>
      <c r="K28" s="5" t="n">
        <v>1.253327</v>
      </c>
      <c r="L28" s="5" t="n">
        <v>0</v>
      </c>
    </row>
    <row r="29">
      <c r="A29" t="n">
        <v>25</v>
      </c>
      <c r="B29" s="10" t="n">
        <v>47769</v>
      </c>
      <c r="C29" t="inlineStr">
        <is>
          <t>04:16 AM</t>
        </is>
      </c>
      <c r="D29" t="inlineStr">
        <is>
          <t>MC</t>
        </is>
      </c>
      <c r="E29" t="inlineStr">
        <is>
          <t>3v3 skirmish</t>
        </is>
      </c>
      <c r="F29" t="inlineStr">
        <is>
          <t>W</t>
        </is>
      </c>
      <c r="J29" s="11" t="n">
        <v>0.00119212962962963</v>
      </c>
      <c r="K29" s="5" t="n">
        <v>10.829627</v>
      </c>
      <c r="L29" s="5" t="n">
        <v>0.203907</v>
      </c>
    </row>
    <row r="30">
      <c r="A30" t="n">
        <v>26</v>
      </c>
      <c r="B30" s="10" t="n">
        <v>47773</v>
      </c>
      <c r="C30" t="inlineStr">
        <is>
          <t>06:53 AM</t>
        </is>
      </c>
      <c r="D30" t="inlineStr">
        <is>
          <t>DS</t>
        </is>
      </c>
      <c r="E30" t="inlineStr">
        <is>
          <t>3v3 skirmish</t>
        </is>
      </c>
      <c r="F30" t="inlineStr">
        <is>
          <t>L</t>
        </is>
      </c>
      <c r="J30" s="11" t="n">
        <v>0.003449074074074074</v>
      </c>
      <c r="K30" s="5" t="n">
        <v>31.407027</v>
      </c>
      <c r="L30" s="5" t="n">
        <v>2.516467</v>
      </c>
    </row>
    <row r="31">
      <c r="A31" t="n">
        <v>27</v>
      </c>
      <c r="B31" s="10" t="n">
        <v>47773</v>
      </c>
      <c r="C31" t="inlineStr">
        <is>
          <t>10:27 PM</t>
        </is>
      </c>
      <c r="D31" t="inlineStr">
        <is>
          <t>BRHA</t>
        </is>
      </c>
      <c r="E31" t="inlineStr">
        <is>
          <t>Solo Shuffle</t>
        </is>
      </c>
      <c r="G31" t="inlineStr">
        <is>
          <t>1-5 (as displayed)</t>
        </is>
      </c>
      <c r="H31" t="n">
        <v>1398</v>
      </c>
      <c r="I31" t="n">
        <v>1409</v>
      </c>
      <c r="K31" s="5" t="n">
        <v>23.406227</v>
      </c>
      <c r="L31" s="5" t="n">
        <v>1.817767</v>
      </c>
      <c r="M31" t="n">
        <v>96</v>
      </c>
      <c r="N31" t="inlineStr">
        <is>
          <t>Synthetic example</t>
        </is>
      </c>
    </row>
    <row r="32"/>
    <row r="33">
      <c r="A33" t="inlineStr">
        <is>
          <t>Skirmish record</t>
        </is>
      </c>
      <c r="B33">
        <f>COUNTIF(F5:F31,"W")&amp;"-"&amp;COUNTIF(F5:F31,"L")</f>
        <v/>
      </c>
    </row>
    <row r="34">
      <c r="A34" t="inlineStr">
        <is>
          <t>Avg duration of losses</t>
        </is>
      </c>
      <c r="B34" s="11">
        <f>AVERAGEIF(F5:F31,"L",J5:J31)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Known Players – characters linked to people</t>
        </is>
      </c>
    </row>
    <row r="2">
      <c r="A2" t="inlineStr">
        <is>
          <t>Add a row for any character you recognize. The Roster tabs look up the Person and Group columns automatically.</t>
        </is>
      </c>
    </row>
    <row r="3"/>
    <row r="4">
      <c r="A4" t="inlineStr">
        <is>
          <t>Character</t>
        </is>
      </c>
      <c r="B4" t="inlineStr">
        <is>
          <t>Realm</t>
        </is>
      </c>
      <c r="C4" t="inlineStr">
        <is>
          <t>Person</t>
        </is>
      </c>
      <c r="D4" t="inlineStr">
        <is>
          <t>Group</t>
        </is>
      </c>
      <c r="E4" t="inlineStr">
        <is>
          <t>Notes</t>
        </is>
      </c>
      <c r="F4" t="inlineStr">
        <is>
          <t>Lookup key</t>
        </is>
      </c>
      <c r="G4" t="inlineStr">
        <is>
          <t>Status</t>
        </is>
      </c>
    </row>
    <row r="5">
      <c r="A5" t="inlineStr">
        <is>
          <t>Mossweaver</t>
        </is>
      </c>
      <c r="B5" t="inlineStr">
        <is>
          <t>exampleworld001</t>
        </is>
      </c>
      <c r="C5" t="inlineStr">
        <is>
          <t>Me</t>
        </is>
      </c>
      <c r="D5" t="inlineStr">
        <is>
          <t>You</t>
        </is>
      </c>
      <c r="E5" t="inlineStr">
        <is>
          <t>Holy Priest main</t>
        </is>
      </c>
      <c r="F5">
        <f>A5&amp;"|"&amp;B5</f>
        <v/>
      </c>
      <c r="G5" t="inlineStr">
        <is>
          <t>Established</t>
        </is>
      </c>
    </row>
    <row r="6">
      <c r="A6" t="inlineStr">
        <is>
          <t>Asterknight</t>
        </is>
      </c>
      <c r="B6" t="inlineStr">
        <is>
          <t>exampleworld001</t>
        </is>
      </c>
      <c r="C6" t="inlineStr">
        <is>
          <t>Me</t>
        </is>
      </c>
      <c r="D6" t="inlineStr">
        <is>
          <t>You</t>
        </is>
      </c>
      <c r="E6" t="inlineStr">
        <is>
          <t>Retribution Paladin</t>
        </is>
      </c>
      <c r="F6">
        <f>A6&amp;"|"&amp;B6</f>
        <v/>
      </c>
      <c r="G6" t="inlineStr">
        <is>
          <t>New</t>
        </is>
      </c>
    </row>
    <row r="7">
      <c r="A7" t="inlineStr">
        <is>
          <t>Dawnstalker</t>
        </is>
      </c>
      <c r="B7" t="inlineStr">
        <is>
          <t>exampleworld001</t>
        </is>
      </c>
      <c r="C7" t="inlineStr">
        <is>
          <t>Me</t>
        </is>
      </c>
      <c r="D7" t="inlineStr">
        <is>
          <t>You</t>
        </is>
      </c>
      <c r="E7" t="inlineStr">
        <is>
          <t>Beast Mastery Hunter</t>
        </is>
      </c>
      <c r="F7">
        <f>A7&amp;"|"&amp;B7</f>
        <v/>
      </c>
      <c r="G7" t="inlineStr">
        <is>
          <t>New</t>
        </is>
      </c>
    </row>
    <row r="8">
      <c r="A8" t="inlineStr">
        <is>
          <t>Skyarrow</t>
        </is>
      </c>
      <c r="B8" t="inlineStr">
        <is>
          <t>exampleworld001</t>
        </is>
      </c>
      <c r="C8" t="inlineStr">
        <is>
          <t>Me</t>
        </is>
      </c>
      <c r="D8" t="inlineStr">
        <is>
          <t>You</t>
        </is>
      </c>
      <c r="E8" t="inlineStr">
        <is>
          <t>Balance Druid (boomie)</t>
        </is>
      </c>
      <c r="F8">
        <f>A8&amp;"|"&amp;B8</f>
        <v/>
      </c>
      <c r="G8" t="inlineStr">
        <is>
          <t>New</t>
        </is>
      </c>
    </row>
    <row r="9">
      <c r="A9" t="inlineStr">
        <is>
          <t>Pebblebrew</t>
        </is>
      </c>
      <c r="B9" t="inlineStr">
        <is>
          <t>SandboxRealm</t>
        </is>
      </c>
      <c r="C9" t="inlineStr">
        <is>
          <t>Buddy B</t>
        </is>
      </c>
      <c r="D9" t="inlineStr">
        <is>
          <t>Your premade</t>
        </is>
      </c>
      <c r="E9" t="inlineStr">
        <is>
          <t>Affliction Warlock; usual shot caller</t>
        </is>
      </c>
      <c r="F9">
        <f>A9&amp;"|"&amp;B9</f>
        <v/>
      </c>
      <c r="G9" t="inlineStr">
        <is>
          <t>Established</t>
        </is>
      </c>
    </row>
    <row r="10">
      <c r="A10" t="inlineStr">
        <is>
          <t>Thornpaw</t>
        </is>
      </c>
      <c r="B10" t="inlineStr">
        <is>
          <t>SandboxRealm</t>
        </is>
      </c>
      <c r="C10" t="inlineStr">
        <is>
          <t>Buddy B</t>
        </is>
      </c>
      <c r="D10" t="inlineStr">
        <is>
          <t>Your premade</t>
        </is>
      </c>
      <c r="E10" t="inlineStr">
        <is>
          <t>Player0724 Priest</t>
        </is>
      </c>
      <c r="F10">
        <f>A10&amp;"|"&amp;B10</f>
        <v/>
      </c>
      <c r="G10" t="inlineStr">
        <is>
          <t>New</t>
        </is>
      </c>
    </row>
    <row r="11">
      <c r="A11" t="inlineStr">
        <is>
          <t>Emberguard</t>
        </is>
      </c>
      <c r="B11" t="inlineStr">
        <is>
          <t>SandboxRealm</t>
        </is>
      </c>
      <c r="C11" t="inlineStr">
        <is>
          <t>Buddy A</t>
        </is>
      </c>
      <c r="D11" t="inlineStr">
        <is>
          <t>Your premade</t>
        </is>
      </c>
      <c r="E11" t="inlineStr">
        <is>
          <t>Marksmanship Hunter</t>
        </is>
      </c>
      <c r="F11">
        <f>A11&amp;"|"&amp;B11</f>
        <v/>
      </c>
      <c r="G11" t="inlineStr">
        <is>
          <t>Established</t>
        </is>
      </c>
    </row>
    <row r="12">
      <c r="A12" t="inlineStr">
        <is>
          <t>Emberblade</t>
        </is>
      </c>
      <c r="B12" t="inlineStr">
        <is>
          <t>SandboxRealm</t>
        </is>
      </c>
      <c r="C12" t="inlineStr">
        <is>
          <t>Buddy A</t>
        </is>
      </c>
      <c r="D12" t="inlineStr">
        <is>
          <t>Your premade</t>
        </is>
      </c>
      <c r="E12" t="inlineStr">
        <is>
          <t>Guardian Druid</t>
        </is>
      </c>
      <c r="F12">
        <f>A12&amp;"|"&amp;B12</f>
        <v/>
      </c>
      <c r="G12" t="inlineStr">
        <is>
          <t>Established</t>
        </is>
      </c>
    </row>
    <row r="13">
      <c r="A13" t="inlineStr">
        <is>
          <t>Emberward</t>
        </is>
      </c>
      <c r="B13" t="inlineStr">
        <is>
          <t>SandboxRealm</t>
        </is>
      </c>
      <c r="C13" t="inlineStr">
        <is>
          <t>Buddy A</t>
        </is>
      </c>
      <c r="D13" t="inlineStr">
        <is>
          <t>Your premade</t>
        </is>
      </c>
      <c r="E13" t="inlineStr">
        <is>
          <t>Assassination Rogue (likely); leveling</t>
        </is>
      </c>
      <c r="F13">
        <f>A13&amp;"|"&amp;B13</f>
        <v/>
      </c>
      <c r="G13" t="inlineStr">
        <is>
          <t>New</t>
        </is>
      </c>
    </row>
    <row r="14">
      <c r="A14" t="inlineStr">
        <is>
          <t>Snowflare</t>
        </is>
      </c>
      <c r="B14" t="inlineStr">
        <is>
          <t>SandboxRealm</t>
        </is>
      </c>
      <c r="C14" t="inlineStr">
        <is>
          <t>Buddy C</t>
        </is>
      </c>
      <c r="D14" t="inlineStr">
        <is>
          <t>Your premade</t>
        </is>
      </c>
      <c r="E14" t="inlineStr">
        <is>
          <t>Balance Druid; Buddy C's alt</t>
        </is>
      </c>
      <c r="F14">
        <f>A14&amp;"|"&amp;B14</f>
        <v/>
      </c>
      <c r="G14" t="inlineStr">
        <is>
          <t>New</t>
        </is>
      </c>
    </row>
    <row r="15">
      <c r="A15" t="inlineStr">
        <is>
          <t>Raincaller</t>
        </is>
      </c>
      <c r="B15" t="inlineStr">
        <is>
          <t>SandboxRealm</t>
        </is>
      </c>
      <c r="C15" t="inlineStr">
        <is>
          <t>Buddy C</t>
        </is>
      </c>
      <c r="D15" t="inlineStr">
        <is>
          <t>Your premade</t>
        </is>
      </c>
      <c r="E15" t="inlineStr">
        <is>
          <t>Death Knight. Realm assumed SandboxRealm; verify</t>
        </is>
      </c>
      <c r="F15">
        <f>A15&amp;"|"&amp;B15</f>
        <v/>
      </c>
      <c r="G15" t="inlineStr">
        <is>
          <t>Established</t>
        </is>
      </c>
    </row>
    <row r="16">
      <c r="A16" t="inlineStr">
        <is>
          <t>Swim</t>
        </is>
      </c>
      <c r="B16" t="inlineStr">
        <is>
          <t>ExampleWorld154</t>
        </is>
      </c>
      <c r="C16" t="inlineStr">
        <is>
          <t>Unknown</t>
        </is>
      </c>
      <c r="D16" t="inlineStr">
        <is>
          <t>Enemy premade: Swim</t>
        </is>
      </c>
      <c r="E16" t="inlineStr">
        <is>
          <t>Seen in a Dawnstalker Temple loss (10/11); Swim premade in Alterac Valley (GM game 43)</t>
        </is>
      </c>
      <c r="F16">
        <f>A16&amp;"|"&amp;B16</f>
        <v/>
      </c>
    </row>
    <row r="17">
      <c r="A17" t="inlineStr">
        <is>
          <t>Buddy D</t>
        </is>
      </c>
      <c r="B17" t="inlineStr">
        <is>
          <t>Anvilmar</t>
        </is>
      </c>
      <c r="C17" t="inlineStr">
        <is>
          <t>Buddy D</t>
        </is>
      </c>
      <c r="D17" t="inlineStr">
        <is>
          <t>Your premade</t>
        </is>
      </c>
      <c r="E17" t="inlineStr">
        <is>
          <t>Subtlety Rogue. Status not yet confirmed</t>
        </is>
      </c>
      <c r="F17">
        <f>A17&amp;"|"&amp;B17</f>
        <v/>
      </c>
      <c r="G17" t="inlineStr">
        <is>
          <t>Unknown</t>
        </is>
      </c>
    </row>
    <row r="18"/>
    <row r="19">
      <c r="A19" t="inlineStr">
        <is>
          <t>Status: Established = a regular main-level character; New = a recently started or leveling character; Unknown = not yet confirmed (treated as neither in 'Premade on mains?'). Kindness and Metz can be added once you know a character name.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log</t>
        </is>
      </c>
    </row>
    <row r="2"/>
    <row r="3">
      <c r="A3" t="inlineStr">
        <is>
          <t>Adding a match (Matches tab):</t>
        </is>
      </c>
    </row>
    <row r="4">
      <c r="A4" t="inlineStr">
        <is>
          <t>1. Copy the last row and paste it into the next empty row.</t>
        </is>
      </c>
    </row>
    <row r="5">
      <c r="A5" t="inlineStr">
        <is>
          <t>2. Overwrite the blue cells with the new match: date, time, battleground, map type, duration, result, and stats from REFlex.</t>
        </is>
      </c>
    </row>
    <row r="6">
      <c r="A6" t="inlineStr">
        <is>
          <t>3. From the end-of-match scoreboard, add: scores, deaths, conquest, role, and the objective columns that apply to that map.</t>
        </is>
      </c>
    </row>
    <row r="7">
      <c r="A7" t="inlineStr">
        <is>
          <t>4. Leave columns O (damage per minute) and AA (damage share) alone; they calculate automatically.</t>
        </is>
      </c>
    </row>
    <row r="8">
      <c r="A8" t="inlineStr">
        <is>
          <t>5. Enter the top Horde player's damage in column Z to get your damage share.</t>
        </is>
      </c>
    </row>
    <row r="9"/>
    <row r="10">
      <c r="A10" t="inlineStr">
        <is>
          <t>Adding players (Roster tab): one row per player, using the same Game # as the Matches tab. Copy the 'Times seen' formula down for new rows. Capturing the Horde and Alliance scoreboard tabs separately gets every player.</t>
        </is>
      </c>
    </row>
    <row r="11"/>
    <row r="12">
      <c r="A12" t="inlineStr">
        <is>
          <t>Columns that only some maps use:</t>
        </is>
      </c>
    </row>
    <row r="13">
      <c r="A13" t="inlineStr">
        <is>
          <t>• Bases assaulted / defended: Arathi Basin, Battle for Gilneas, Deepwind Gorge, Eye of the Storm</t>
        </is>
      </c>
    </row>
    <row r="14">
      <c r="A14" t="inlineStr">
        <is>
          <t>• Flag captures / returns: Warsong Gulch, Twin Peaks, Eye of the Storm</t>
        </is>
      </c>
    </row>
    <row r="15">
      <c r="A15" t="inlineStr">
        <is>
          <t>• Carts controlled: Silvershard Mines, Deephaul Ravine</t>
        </is>
      </c>
    </row>
    <row r="16">
      <c r="A16" t="inlineStr">
        <is>
          <t>• Orb possessions / victory points: Temple of Kotmogu</t>
        </is>
      </c>
    </row>
    <row r="17"/>
    <row r="18">
      <c r="A18" t="inlineStr">
        <is>
          <t>Data notes:</t>
        </is>
      </c>
    </row>
    <row r="19">
      <c r="A19" t="inlineStr">
        <is>
          <t>• Games 1–47 come from REFlex screenshots; seven also have full scoreboard data (marked in the Data source column).</t>
        </is>
      </c>
    </row>
    <row r="20">
      <c r="A20" t="inlineStr">
        <is>
          <t>• Deaths, scores, and objective stats are blank where only REFlex data exists, since REFlex doesn't record them.</t>
        </is>
      </c>
    </row>
    <row r="21">
      <c r="A21" t="inlineStr">
        <is>
          <t>• Games 48–50 come from scoreboards only; add their times and durations once REFlex shows them.</t>
        </is>
      </c>
    </row>
    <row r="22">
      <c r="A22" t="inlineStr">
        <is>
          <t>• Short losses with 0 HKs are flagged as possible late joins. Consider excluding them when judging performance.</t>
        </is>
      </c>
    </row>
    <row r="23">
      <c r="A23" t="inlineStr">
        <is>
          <t>• Damage per minute is most meaningful when compared within the same map type (see the Summary tab).</t>
        </is>
      </c>
    </row>
    <row r="24"/>
    <row r="25">
      <c r="A25" t="inlineStr">
        <is>
          <t>Mossweaver tabs (GM Summary, GM Battlegrounds, GM Arena, GM Roster) follow the same layout, with healer-focused columns: healing per minute, healing rank, and healing vs the next-best Horde healer.</t>
        </is>
      </c>
    </row>
    <row r="26"/>
    <row r="27">
      <c r="A27" t="inlineStr">
        <is>
          <t>Horde / Alliance deaths and healing:</t>
        </is>
      </c>
    </row>
    <row r="28">
      <c r="A28" t="inlineStr">
        <is>
          <t>• Deaths and healing are calculated from the roster tab for games with a full scoreboard roster (GM 41-42, 44-50; PG 50). Healing uses the rounded values shown on the scoreboard.</t>
        </is>
      </c>
    </row>
    <row r="29">
      <c r="A29" t="inlineStr">
        <is>
          <t>• Games 42 (GM) and 47 (GM) exclude players who left before the end, since their rows drop off the scoreboard.</t>
        </is>
      </c>
    </row>
    <row r="30">
      <c r="A30" t="inlineStr">
        <is>
          <t>• Left blank for partial rosters (GM 43 Alterac Valley; PG 48-49, 16 of 20 visible) and games without scoreboards.</t>
        </is>
      </c>
    </row>
    <row r="31">
      <c r="A31" t="inlineStr">
        <is>
          <t>Healers (Horde vs Alliance):</t>
        </is>
      </c>
    </row>
    <row r="32">
      <c r="A32" t="inlineStr">
        <is>
          <t>• Counted from the scoreboard by stats, since spec icons are too small to read: a player is counted as a healer when healing is several times their damage.</t>
        </is>
      </c>
    </row>
    <row r="33">
      <c r="A33" t="inlineStr">
        <is>
          <t>• Hybrids with mixed output (e.g., a Ret or Player0724 off-healing) may be misclassified. Correct any count you know from the match.</t>
        </is>
      </c>
    </row>
    <row r="34">
      <c r="A34" t="inlineStr">
        <is>
          <t>• '(visible only)' means some players weren't captured, so the true count may be higher.</t>
        </is>
      </c>
    </row>
    <row r="35"/>
    <row r="36">
      <c r="A36" t="inlineStr">
        <is>
          <t>Premade on mains?:</t>
        </is>
      </c>
    </row>
    <row r="37">
      <c r="A37" t="inlineStr">
        <is>
          <t>• Solo = no known group members on your team. Yes = at least 3 premade people present (you plus 2+ friends) AND at least 2 friends on Established characters; your own character doesn't count. Otherwise No. Unknown = a friend's character status isn't confirmed and decides the result.</t>
        </is>
      </c>
    </row>
    <row r="38">
      <c r="A38" t="inlineStr">
        <is>
          <t>• 'Teammates on mains' shows friends on Established characters out of friends present, e.g. '1 of 3'.</t>
        </is>
      </c>
    </row>
    <row r="39">
      <c r="A39" t="inlineStr">
        <is>
          <t>• Games with roster tabs are calculated automatically. Older games are filled from scoreboard screenshots (visible rows and raid frames) and noted with their source; partial views may miss someone. Blank = no screenshot showing the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Test Generator</dc:creator>
  <dcterms:created xmlns:dcterms="http://purl.org/dc/terms/" xmlns:xsi="http://www.w3.org/2001/XMLSchema-instance" xsi:type="dcterms:W3CDTF">2030-01-01T00:00:00Z</dcterms:created>
  <dcterms:modified xmlns:dcterms="http://purl.org/dc/terms/" xmlns:xsi="http://www.w3.org/2001/XMLSchema-instance" xsi:type="dcterms:W3CDTF">2026-10-25T13:48:02Z</dcterms:modified>
  <cp:lastModifiedBy>Synthetic Test Generator</cp:lastModifiedBy>
</cp:coreProperties>
</file>